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showInkAnnotation="0" autoCompressPictures="0"/>
  <xr:revisionPtr revIDLastSave="1" documentId="11_A6FE376619379EFE7EC259CAE0A15B8DA44F8287" xr6:coauthVersionLast="47" xr6:coauthVersionMax="47" xr10:uidLastSave="{9B806E38-BE38-4022-B354-4D3BF91C60FF}"/>
  <bookViews>
    <workbookView xWindow="0" yWindow="0" windowWidth="0" windowHeight="0" xr2:uid="{00000000-000D-0000-FFFF-FFFF00000000}"/>
  </bookViews>
  <sheets>
    <sheet name="Master_Data" sheetId="1" r:id="rId1"/>
    <sheet name="Data_Dictionary" sheetId="2" r:id="rId2"/>
    <sheet name="Merge_Checks" sheetId="3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51" i="1" l="1"/>
  <c r="S250" i="1"/>
  <c r="S249" i="1"/>
  <c r="S248" i="1"/>
  <c r="U247" i="1"/>
  <c r="S247" i="1"/>
  <c r="T247" i="1" s="1"/>
  <c r="S246" i="1"/>
  <c r="S245" i="1"/>
  <c r="S244" i="1"/>
  <c r="S243" i="1"/>
  <c r="U242" i="1"/>
  <c r="S242" i="1"/>
  <c r="T242" i="1" s="1"/>
  <c r="S241" i="1"/>
  <c r="S240" i="1"/>
  <c r="S239" i="1"/>
  <c r="S238" i="1"/>
  <c r="U237" i="1"/>
  <c r="S237" i="1"/>
  <c r="T237" i="1" s="1"/>
  <c r="S236" i="1"/>
  <c r="S235" i="1"/>
  <c r="S234" i="1"/>
  <c r="S233" i="1"/>
  <c r="U232" i="1"/>
  <c r="S232" i="1"/>
  <c r="T232" i="1" s="1"/>
  <c r="S231" i="1"/>
  <c r="S230" i="1"/>
  <c r="S229" i="1"/>
  <c r="S228" i="1"/>
  <c r="U227" i="1"/>
  <c r="S227" i="1"/>
  <c r="T227" i="1" s="1"/>
  <c r="S226" i="1"/>
  <c r="S225" i="1"/>
  <c r="S224" i="1"/>
  <c r="S223" i="1"/>
  <c r="U222" i="1"/>
  <c r="S222" i="1"/>
  <c r="T222" i="1" s="1"/>
  <c r="S221" i="1"/>
  <c r="S220" i="1"/>
  <c r="S219" i="1"/>
  <c r="S218" i="1"/>
  <c r="U217" i="1"/>
  <c r="S217" i="1"/>
  <c r="T217" i="1" s="1"/>
  <c r="S216" i="1"/>
  <c r="S215" i="1"/>
  <c r="S214" i="1"/>
  <c r="S213" i="1"/>
  <c r="U212" i="1"/>
  <c r="S212" i="1"/>
  <c r="T212" i="1" s="1"/>
  <c r="S211" i="1"/>
  <c r="S210" i="1"/>
  <c r="S209" i="1"/>
  <c r="S208" i="1"/>
  <c r="U207" i="1"/>
  <c r="S207" i="1"/>
  <c r="T207" i="1" s="1"/>
  <c r="S206" i="1"/>
  <c r="S205" i="1"/>
  <c r="S204" i="1"/>
  <c r="S203" i="1"/>
  <c r="U202" i="1"/>
  <c r="S202" i="1"/>
  <c r="T202" i="1" s="1"/>
  <c r="S201" i="1"/>
  <c r="S200" i="1"/>
  <c r="S199" i="1"/>
  <c r="S198" i="1"/>
  <c r="U197" i="1"/>
  <c r="S197" i="1"/>
  <c r="T197" i="1" s="1"/>
  <c r="S196" i="1"/>
  <c r="S195" i="1"/>
  <c r="S194" i="1"/>
  <c r="S193" i="1"/>
  <c r="U192" i="1"/>
  <c r="S192" i="1"/>
  <c r="T192" i="1" s="1"/>
  <c r="S191" i="1"/>
  <c r="S190" i="1"/>
  <c r="S189" i="1"/>
  <c r="S188" i="1"/>
  <c r="U187" i="1"/>
  <c r="S187" i="1"/>
  <c r="T187" i="1" s="1"/>
  <c r="S186" i="1"/>
  <c r="S185" i="1"/>
  <c r="S184" i="1"/>
  <c r="S183" i="1"/>
  <c r="U182" i="1"/>
  <c r="S182" i="1"/>
  <c r="T182" i="1" s="1"/>
  <c r="S181" i="1"/>
  <c r="S180" i="1"/>
  <c r="S179" i="1"/>
  <c r="S178" i="1"/>
  <c r="U177" i="1"/>
  <c r="S177" i="1"/>
  <c r="T177" i="1" s="1"/>
  <c r="S176" i="1"/>
  <c r="S175" i="1"/>
  <c r="S174" i="1"/>
  <c r="S173" i="1"/>
  <c r="U172" i="1"/>
  <c r="S172" i="1"/>
  <c r="T172" i="1" s="1"/>
  <c r="S171" i="1"/>
  <c r="S170" i="1"/>
  <c r="S169" i="1"/>
  <c r="S168" i="1"/>
  <c r="U167" i="1"/>
  <c r="S167" i="1"/>
  <c r="T167" i="1" s="1"/>
  <c r="S166" i="1"/>
  <c r="S165" i="1"/>
  <c r="S164" i="1"/>
  <c r="S163" i="1"/>
  <c r="U162" i="1"/>
  <c r="S162" i="1"/>
  <c r="T162" i="1" s="1"/>
  <c r="S161" i="1"/>
  <c r="S160" i="1"/>
  <c r="S159" i="1"/>
  <c r="S158" i="1"/>
  <c r="U157" i="1"/>
  <c r="S157" i="1"/>
  <c r="T157" i="1" s="1"/>
  <c r="S156" i="1"/>
  <c r="S155" i="1"/>
  <c r="S154" i="1"/>
  <c r="S153" i="1"/>
  <c r="U152" i="1"/>
  <c r="S152" i="1"/>
  <c r="T152" i="1" s="1"/>
  <c r="S151" i="1"/>
  <c r="S150" i="1"/>
  <c r="S149" i="1"/>
  <c r="S148" i="1"/>
  <c r="U147" i="1"/>
  <c r="S147" i="1"/>
  <c r="T147" i="1" s="1"/>
  <c r="S146" i="1"/>
  <c r="S145" i="1"/>
  <c r="S144" i="1"/>
  <c r="S143" i="1"/>
  <c r="U142" i="1"/>
  <c r="S142" i="1"/>
  <c r="T142" i="1" s="1"/>
  <c r="S141" i="1"/>
  <c r="S140" i="1"/>
  <c r="S139" i="1"/>
  <c r="S138" i="1"/>
  <c r="U137" i="1"/>
  <c r="S137" i="1"/>
  <c r="T137" i="1" s="1"/>
  <c r="S136" i="1"/>
  <c r="S135" i="1"/>
  <c r="S134" i="1"/>
  <c r="S133" i="1"/>
  <c r="U132" i="1"/>
  <c r="S132" i="1"/>
  <c r="T132" i="1" s="1"/>
  <c r="S131" i="1"/>
  <c r="S130" i="1"/>
  <c r="S129" i="1"/>
  <c r="S128" i="1"/>
  <c r="U127" i="1"/>
  <c r="S127" i="1"/>
  <c r="T127" i="1" s="1"/>
  <c r="S126" i="1"/>
  <c r="S125" i="1"/>
  <c r="S124" i="1"/>
  <c r="S123" i="1"/>
  <c r="U122" i="1"/>
  <c r="S122" i="1"/>
  <c r="T122" i="1" s="1"/>
  <c r="S121" i="1"/>
  <c r="S120" i="1"/>
  <c r="S119" i="1"/>
  <c r="S118" i="1"/>
  <c r="U117" i="1"/>
  <c r="S117" i="1"/>
  <c r="T117" i="1" s="1"/>
  <c r="S116" i="1"/>
  <c r="S115" i="1"/>
  <c r="S114" i="1"/>
  <c r="S113" i="1"/>
  <c r="U112" i="1"/>
  <c r="S112" i="1"/>
  <c r="T112" i="1" s="1"/>
  <c r="S111" i="1"/>
  <c r="S110" i="1"/>
  <c r="S109" i="1"/>
  <c r="S108" i="1"/>
  <c r="U107" i="1"/>
  <c r="S107" i="1"/>
  <c r="T107" i="1" s="1"/>
  <c r="S106" i="1"/>
  <c r="S105" i="1"/>
  <c r="S104" i="1"/>
  <c r="S103" i="1"/>
  <c r="U102" i="1"/>
  <c r="S102" i="1"/>
  <c r="T102" i="1" s="1"/>
  <c r="S101" i="1"/>
  <c r="S100" i="1"/>
  <c r="S99" i="1"/>
  <c r="S98" i="1"/>
  <c r="U97" i="1"/>
  <c r="S97" i="1"/>
  <c r="T97" i="1" s="1"/>
  <c r="S96" i="1"/>
  <c r="S95" i="1"/>
  <c r="S94" i="1"/>
  <c r="S93" i="1"/>
  <c r="U92" i="1"/>
  <c r="S92" i="1"/>
  <c r="T92" i="1" s="1"/>
  <c r="S91" i="1"/>
  <c r="S90" i="1"/>
  <c r="S89" i="1"/>
  <c r="S88" i="1"/>
  <c r="U87" i="1"/>
  <c r="S87" i="1"/>
  <c r="T87" i="1" s="1"/>
  <c r="S86" i="1"/>
  <c r="S85" i="1"/>
  <c r="S84" i="1"/>
  <c r="S83" i="1"/>
  <c r="U82" i="1"/>
  <c r="S82" i="1"/>
  <c r="T82" i="1" s="1"/>
  <c r="S81" i="1"/>
  <c r="S80" i="1"/>
  <c r="S79" i="1"/>
  <c r="S78" i="1"/>
  <c r="U77" i="1"/>
  <c r="S77" i="1"/>
  <c r="T77" i="1" s="1"/>
  <c r="S76" i="1"/>
  <c r="S75" i="1"/>
  <c r="S74" i="1"/>
  <c r="S73" i="1"/>
  <c r="U72" i="1"/>
  <c r="S72" i="1"/>
  <c r="T72" i="1" s="1"/>
  <c r="S71" i="1"/>
  <c r="S70" i="1"/>
  <c r="S69" i="1"/>
  <c r="S68" i="1"/>
  <c r="U67" i="1"/>
  <c r="S67" i="1"/>
  <c r="T67" i="1" s="1"/>
  <c r="S66" i="1"/>
  <c r="S65" i="1"/>
  <c r="S64" i="1"/>
  <c r="S63" i="1"/>
  <c r="U62" i="1"/>
  <c r="S62" i="1"/>
  <c r="T62" i="1" s="1"/>
  <c r="S61" i="1"/>
  <c r="S60" i="1"/>
  <c r="S59" i="1"/>
  <c r="S58" i="1"/>
  <c r="U57" i="1"/>
  <c r="S57" i="1"/>
  <c r="T57" i="1" s="1"/>
  <c r="S56" i="1"/>
  <c r="S55" i="1"/>
  <c r="S54" i="1"/>
  <c r="S53" i="1"/>
  <c r="U52" i="1"/>
  <c r="S52" i="1"/>
  <c r="T52" i="1" s="1"/>
  <c r="S51" i="1"/>
  <c r="S50" i="1"/>
  <c r="S49" i="1"/>
  <c r="S48" i="1"/>
  <c r="U47" i="1"/>
  <c r="S47" i="1"/>
  <c r="T47" i="1" s="1"/>
  <c r="S46" i="1"/>
  <c r="S45" i="1"/>
  <c r="S44" i="1"/>
  <c r="S43" i="1"/>
  <c r="U42" i="1"/>
  <c r="S42" i="1"/>
  <c r="T42" i="1" s="1"/>
  <c r="S41" i="1"/>
  <c r="S40" i="1"/>
  <c r="S39" i="1"/>
  <c r="S38" i="1"/>
  <c r="U37" i="1"/>
  <c r="S37" i="1"/>
  <c r="T37" i="1" s="1"/>
  <c r="S36" i="1"/>
  <c r="S35" i="1"/>
  <c r="S34" i="1"/>
  <c r="S33" i="1"/>
  <c r="U32" i="1"/>
  <c r="S32" i="1"/>
  <c r="T32" i="1" s="1"/>
  <c r="S31" i="1"/>
  <c r="S30" i="1"/>
  <c r="S29" i="1"/>
  <c r="S28" i="1"/>
  <c r="U27" i="1"/>
  <c r="S27" i="1"/>
  <c r="T27" i="1" s="1"/>
  <c r="S26" i="1"/>
  <c r="S25" i="1"/>
  <c r="S24" i="1"/>
  <c r="S23" i="1"/>
  <c r="U22" i="1"/>
  <c r="S22" i="1"/>
  <c r="T22" i="1" s="1"/>
  <c r="S21" i="1"/>
  <c r="S20" i="1"/>
  <c r="S19" i="1"/>
  <c r="S18" i="1"/>
  <c r="U17" i="1"/>
  <c r="S17" i="1"/>
  <c r="T17" i="1" s="1"/>
  <c r="S16" i="1"/>
  <c r="S15" i="1"/>
  <c r="S14" i="1"/>
  <c r="S13" i="1"/>
  <c r="U12" i="1"/>
  <c r="S12" i="1"/>
  <c r="T12" i="1" s="1"/>
  <c r="S11" i="1"/>
  <c r="S10" i="1"/>
  <c r="S9" i="1"/>
  <c r="S8" i="1"/>
  <c r="U7" i="1"/>
  <c r="S7" i="1"/>
  <c r="T7" i="1" s="1"/>
  <c r="S6" i="1"/>
  <c r="S5" i="1"/>
  <c r="S4" i="1"/>
  <c r="S3" i="1"/>
  <c r="U2" i="1"/>
  <c r="S2" i="1"/>
  <c r="T2" i="1" s="1"/>
  <c r="U3" i="1" l="1"/>
  <c r="T3" i="1"/>
  <c r="U4" i="1"/>
  <c r="T4" i="1"/>
  <c r="U5" i="1"/>
  <c r="T5" i="1"/>
  <c r="U6" i="1"/>
  <c r="T6" i="1"/>
  <c r="U8" i="1"/>
  <c r="T8" i="1"/>
  <c r="U9" i="1"/>
  <c r="T9" i="1"/>
  <c r="U10" i="1"/>
  <c r="T10" i="1"/>
  <c r="U11" i="1"/>
  <c r="T11" i="1"/>
  <c r="U13" i="1"/>
  <c r="T13" i="1"/>
  <c r="U14" i="1"/>
  <c r="T14" i="1"/>
  <c r="U15" i="1"/>
  <c r="T15" i="1"/>
  <c r="U16" i="1"/>
  <c r="T16" i="1"/>
  <c r="U18" i="1"/>
  <c r="T18" i="1"/>
  <c r="U19" i="1"/>
  <c r="T19" i="1"/>
  <c r="U20" i="1"/>
  <c r="T20" i="1"/>
  <c r="U21" i="1"/>
  <c r="T21" i="1"/>
  <c r="U23" i="1"/>
  <c r="T23" i="1"/>
  <c r="U24" i="1"/>
  <c r="T24" i="1"/>
  <c r="U25" i="1"/>
  <c r="T25" i="1"/>
  <c r="U26" i="1"/>
  <c r="T26" i="1"/>
  <c r="U28" i="1"/>
  <c r="T28" i="1"/>
  <c r="U29" i="1"/>
  <c r="T29" i="1"/>
  <c r="U30" i="1"/>
  <c r="T30" i="1"/>
  <c r="U31" i="1"/>
  <c r="T31" i="1"/>
  <c r="U33" i="1"/>
  <c r="T33" i="1"/>
  <c r="U34" i="1"/>
  <c r="T34" i="1"/>
  <c r="U35" i="1"/>
  <c r="T35" i="1"/>
  <c r="U36" i="1"/>
  <c r="T36" i="1"/>
  <c r="U38" i="1"/>
  <c r="T38" i="1"/>
  <c r="U39" i="1"/>
  <c r="T39" i="1"/>
  <c r="U40" i="1"/>
  <c r="T40" i="1"/>
  <c r="U41" i="1"/>
  <c r="T41" i="1"/>
  <c r="U43" i="1"/>
  <c r="T43" i="1"/>
  <c r="U44" i="1"/>
  <c r="T44" i="1"/>
  <c r="U45" i="1"/>
  <c r="T45" i="1"/>
  <c r="U46" i="1"/>
  <c r="T46" i="1"/>
  <c r="U48" i="1"/>
  <c r="T48" i="1"/>
  <c r="U49" i="1"/>
  <c r="T49" i="1"/>
  <c r="U50" i="1"/>
  <c r="T50" i="1"/>
  <c r="U51" i="1"/>
  <c r="T51" i="1"/>
  <c r="U53" i="1"/>
  <c r="T53" i="1"/>
  <c r="U54" i="1"/>
  <c r="T54" i="1"/>
  <c r="U55" i="1"/>
  <c r="T55" i="1"/>
  <c r="U56" i="1"/>
  <c r="T56" i="1"/>
  <c r="U58" i="1"/>
  <c r="T58" i="1"/>
  <c r="U59" i="1"/>
  <c r="T59" i="1"/>
  <c r="U60" i="1"/>
  <c r="T60" i="1"/>
  <c r="U61" i="1"/>
  <c r="T61" i="1"/>
  <c r="U63" i="1"/>
  <c r="T63" i="1"/>
  <c r="U64" i="1"/>
  <c r="T64" i="1"/>
  <c r="U65" i="1"/>
  <c r="T65" i="1"/>
  <c r="U66" i="1"/>
  <c r="T66" i="1"/>
  <c r="U68" i="1"/>
  <c r="T68" i="1"/>
  <c r="U69" i="1"/>
  <c r="T69" i="1"/>
  <c r="U70" i="1"/>
  <c r="T70" i="1"/>
  <c r="U71" i="1"/>
  <c r="T71" i="1"/>
  <c r="U73" i="1"/>
  <c r="T73" i="1"/>
  <c r="U74" i="1"/>
  <c r="T74" i="1"/>
  <c r="U75" i="1"/>
  <c r="T75" i="1"/>
  <c r="U76" i="1"/>
  <c r="T76" i="1"/>
  <c r="U78" i="1"/>
  <c r="T78" i="1"/>
  <c r="U79" i="1"/>
  <c r="T79" i="1"/>
  <c r="U80" i="1"/>
  <c r="T80" i="1"/>
  <c r="U81" i="1"/>
  <c r="T81" i="1"/>
  <c r="U83" i="1"/>
  <c r="T83" i="1"/>
  <c r="U84" i="1"/>
  <c r="T84" i="1"/>
  <c r="U85" i="1"/>
  <c r="T85" i="1"/>
  <c r="U86" i="1"/>
  <c r="T86" i="1"/>
  <c r="U88" i="1"/>
  <c r="T88" i="1"/>
  <c r="U89" i="1"/>
  <c r="T89" i="1"/>
  <c r="U90" i="1"/>
  <c r="T90" i="1"/>
  <c r="U91" i="1"/>
  <c r="T91" i="1"/>
  <c r="U93" i="1"/>
  <c r="T93" i="1"/>
  <c r="U94" i="1"/>
  <c r="T94" i="1"/>
  <c r="U95" i="1"/>
  <c r="T95" i="1"/>
  <c r="U96" i="1"/>
  <c r="T96" i="1"/>
  <c r="U98" i="1"/>
  <c r="T98" i="1"/>
  <c r="U99" i="1"/>
  <c r="T99" i="1"/>
  <c r="U100" i="1"/>
  <c r="T100" i="1"/>
  <c r="U101" i="1"/>
  <c r="T101" i="1"/>
  <c r="U103" i="1"/>
  <c r="T103" i="1"/>
  <c r="U104" i="1"/>
  <c r="T104" i="1"/>
  <c r="U105" i="1"/>
  <c r="T105" i="1"/>
  <c r="U106" i="1"/>
  <c r="T106" i="1"/>
  <c r="U108" i="1"/>
  <c r="T108" i="1"/>
  <c r="U109" i="1"/>
  <c r="T109" i="1"/>
  <c r="U110" i="1"/>
  <c r="T110" i="1"/>
  <c r="U111" i="1"/>
  <c r="T111" i="1"/>
  <c r="U113" i="1"/>
  <c r="T113" i="1"/>
  <c r="U114" i="1"/>
  <c r="T114" i="1"/>
  <c r="U115" i="1"/>
  <c r="T115" i="1"/>
  <c r="U116" i="1"/>
  <c r="T116" i="1"/>
  <c r="U118" i="1"/>
  <c r="T118" i="1"/>
  <c r="U119" i="1"/>
  <c r="T119" i="1"/>
  <c r="U120" i="1"/>
  <c r="T120" i="1"/>
  <c r="U121" i="1"/>
  <c r="T121" i="1"/>
  <c r="U123" i="1"/>
  <c r="T123" i="1"/>
  <c r="U124" i="1"/>
  <c r="T124" i="1"/>
  <c r="U125" i="1"/>
  <c r="T125" i="1"/>
  <c r="U126" i="1"/>
  <c r="T126" i="1"/>
  <c r="U128" i="1"/>
  <c r="T128" i="1"/>
  <c r="U129" i="1"/>
  <c r="T129" i="1"/>
  <c r="U130" i="1"/>
  <c r="T130" i="1"/>
  <c r="U131" i="1"/>
  <c r="T131" i="1"/>
  <c r="U133" i="1"/>
  <c r="T133" i="1"/>
  <c r="U134" i="1"/>
  <c r="T134" i="1"/>
  <c r="U135" i="1"/>
  <c r="T135" i="1"/>
  <c r="U136" i="1"/>
  <c r="T136" i="1"/>
  <c r="U138" i="1"/>
  <c r="T138" i="1"/>
  <c r="U139" i="1"/>
  <c r="T139" i="1"/>
  <c r="U140" i="1"/>
  <c r="T140" i="1"/>
  <c r="U141" i="1"/>
  <c r="T141" i="1"/>
  <c r="U143" i="1"/>
  <c r="T143" i="1"/>
  <c r="U144" i="1"/>
  <c r="T144" i="1"/>
  <c r="U145" i="1"/>
  <c r="T145" i="1"/>
  <c r="U146" i="1"/>
  <c r="T146" i="1"/>
  <c r="U148" i="1"/>
  <c r="T148" i="1"/>
  <c r="U149" i="1"/>
  <c r="T149" i="1"/>
  <c r="U150" i="1"/>
  <c r="T150" i="1"/>
  <c r="U151" i="1"/>
  <c r="T151" i="1"/>
  <c r="U153" i="1"/>
  <c r="T153" i="1"/>
  <c r="U154" i="1"/>
  <c r="T154" i="1"/>
  <c r="U155" i="1"/>
  <c r="T155" i="1"/>
  <c r="U156" i="1"/>
  <c r="T156" i="1"/>
  <c r="U158" i="1"/>
  <c r="T158" i="1"/>
  <c r="U159" i="1"/>
  <c r="T159" i="1"/>
  <c r="U160" i="1"/>
  <c r="T160" i="1"/>
  <c r="U161" i="1"/>
  <c r="T161" i="1"/>
  <c r="U163" i="1"/>
  <c r="T163" i="1"/>
  <c r="U164" i="1"/>
  <c r="T164" i="1"/>
  <c r="U165" i="1"/>
  <c r="T165" i="1"/>
  <c r="U166" i="1"/>
  <c r="T166" i="1"/>
  <c r="U168" i="1"/>
  <c r="T168" i="1"/>
  <c r="U169" i="1"/>
  <c r="T169" i="1"/>
  <c r="U170" i="1"/>
  <c r="T170" i="1"/>
  <c r="U171" i="1"/>
  <c r="T171" i="1"/>
  <c r="U173" i="1"/>
  <c r="T173" i="1"/>
  <c r="U174" i="1"/>
  <c r="T174" i="1"/>
  <c r="U175" i="1"/>
  <c r="T175" i="1"/>
  <c r="U176" i="1"/>
  <c r="T176" i="1"/>
  <c r="U178" i="1"/>
  <c r="T178" i="1"/>
  <c r="U179" i="1"/>
  <c r="T179" i="1"/>
  <c r="U180" i="1"/>
  <c r="T180" i="1"/>
  <c r="U181" i="1"/>
  <c r="T181" i="1"/>
  <c r="U183" i="1"/>
  <c r="T183" i="1"/>
  <c r="U184" i="1"/>
  <c r="T184" i="1"/>
  <c r="U185" i="1"/>
  <c r="T185" i="1"/>
  <c r="U186" i="1"/>
  <c r="T186" i="1"/>
  <c r="U188" i="1"/>
  <c r="T188" i="1"/>
  <c r="U189" i="1"/>
  <c r="T189" i="1"/>
  <c r="U190" i="1"/>
  <c r="T190" i="1"/>
  <c r="U191" i="1"/>
  <c r="T191" i="1"/>
  <c r="U193" i="1"/>
  <c r="T193" i="1"/>
  <c r="U194" i="1"/>
  <c r="T194" i="1"/>
  <c r="U195" i="1"/>
  <c r="T195" i="1"/>
  <c r="U196" i="1"/>
  <c r="T196" i="1"/>
  <c r="U198" i="1"/>
  <c r="T198" i="1"/>
  <c r="U199" i="1"/>
  <c r="T199" i="1"/>
  <c r="U200" i="1"/>
  <c r="T200" i="1"/>
  <c r="U201" i="1"/>
  <c r="T201" i="1"/>
  <c r="U203" i="1"/>
  <c r="T203" i="1"/>
  <c r="U204" i="1"/>
  <c r="T204" i="1"/>
  <c r="U205" i="1"/>
  <c r="T205" i="1"/>
  <c r="U206" i="1"/>
  <c r="T206" i="1"/>
  <c r="U208" i="1"/>
  <c r="T208" i="1"/>
  <c r="U209" i="1"/>
  <c r="T209" i="1"/>
  <c r="U210" i="1"/>
  <c r="T210" i="1"/>
  <c r="U211" i="1"/>
  <c r="T211" i="1"/>
  <c r="U213" i="1"/>
  <c r="T213" i="1"/>
  <c r="U214" i="1"/>
  <c r="T214" i="1"/>
  <c r="U215" i="1"/>
  <c r="T215" i="1"/>
  <c r="U216" i="1"/>
  <c r="T216" i="1"/>
  <c r="U218" i="1"/>
  <c r="T218" i="1"/>
  <c r="U219" i="1"/>
  <c r="T219" i="1"/>
  <c r="U220" i="1"/>
  <c r="T220" i="1"/>
  <c r="U221" i="1"/>
  <c r="T221" i="1"/>
  <c r="U223" i="1"/>
  <c r="T223" i="1"/>
  <c r="U224" i="1"/>
  <c r="T224" i="1"/>
  <c r="U225" i="1"/>
  <c r="T225" i="1"/>
  <c r="U226" i="1"/>
  <c r="T226" i="1"/>
  <c r="U228" i="1"/>
  <c r="T228" i="1"/>
  <c r="U229" i="1"/>
  <c r="T229" i="1"/>
  <c r="U230" i="1"/>
  <c r="T230" i="1"/>
  <c r="U231" i="1"/>
  <c r="T231" i="1"/>
  <c r="U233" i="1"/>
  <c r="T233" i="1"/>
  <c r="U234" i="1"/>
  <c r="T234" i="1"/>
  <c r="U235" i="1"/>
  <c r="T235" i="1"/>
  <c r="U236" i="1"/>
  <c r="T236" i="1"/>
  <c r="U238" i="1"/>
  <c r="T238" i="1"/>
  <c r="U239" i="1"/>
  <c r="T239" i="1"/>
  <c r="U240" i="1"/>
  <c r="T240" i="1"/>
  <c r="U241" i="1"/>
  <c r="T241" i="1"/>
  <c r="U243" i="1"/>
  <c r="T243" i="1"/>
  <c r="U244" i="1"/>
  <c r="T244" i="1"/>
  <c r="U245" i="1"/>
  <c r="T245" i="1"/>
  <c r="U246" i="1"/>
  <c r="T246" i="1"/>
  <c r="U248" i="1"/>
  <c r="T248" i="1"/>
  <c r="U249" i="1"/>
  <c r="T249" i="1"/>
  <c r="U250" i="1"/>
  <c r="T250" i="1"/>
  <c r="U251" i="1"/>
  <c r="T251" i="1"/>
</calcChain>
</file>

<file path=xl/sharedStrings.xml><?xml version="1.0" encoding="utf-8"?>
<sst xmlns="http://schemas.openxmlformats.org/spreadsheetml/2006/main" count="630" uniqueCount="167">
  <si>
    <t>state</t>
  </si>
  <si>
    <t>year</t>
  </si>
  <si>
    <t>single_premium</t>
  </si>
  <si>
    <t>family_premium</t>
  </si>
  <si>
    <t>median_oop_spending</t>
  </si>
  <si>
    <t>high_medical_cost_burden_rate</t>
  </si>
  <si>
    <t>high_medical_cost_burden_pct</t>
  </si>
  <si>
    <t>CON_6m</t>
  </si>
  <si>
    <t>median_household_income</t>
  </si>
  <si>
    <t>poverty_rate</t>
  </si>
  <si>
    <t>unemployment_rate</t>
  </si>
  <si>
    <t>population</t>
  </si>
  <si>
    <t>age_65_plus_count</t>
  </si>
  <si>
    <t>pct_age_65_plus</t>
  </si>
  <si>
    <t>uninsured_rate</t>
  </si>
  <si>
    <t>medicaid_expansion</t>
  </si>
  <si>
    <t>medicaid_expansion_date</t>
  </si>
  <si>
    <t>health_pce_millions</t>
  </si>
  <si>
    <t>healthcare_pce_per_capita</t>
  </si>
  <si>
    <t>log_healthcare_pce_per_capita</t>
  </si>
  <si>
    <t>healthcare_pce_per_capita_yoy_pct_change</t>
  </si>
  <si>
    <t>Alabama</t>
  </si>
  <si>
    <t>N/A</t>
  </si>
  <si>
    <t>Alaska</t>
  </si>
  <si>
    <t>2015-09-01</t>
  </si>
  <si>
    <t>Arizona</t>
  </si>
  <si>
    <t>2014-01-01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</si>
  <si>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</si>
  <si>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</si>
  <si>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</si>
  <si>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</si>
  <si>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</si>
  <si>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</si>
  <si>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</si>
  <si>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</si>
  <si>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</si>
  <si>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2020-01-01</t>
  </si>
  <si>
    <t>Illinois</t>
  </si>
  <si>
    <t>Indiana</t>
  </si>
  <si>
    <t>2015-02-01</t>
  </si>
  <si>
    <t>Iowa</t>
  </si>
  <si>
    <t>Kansas</t>
  </si>
  <si>
    <t>Kentucky</t>
  </si>
  <si>
    <t>Louisiana</t>
  </si>
  <si>
    <t>2016-07-01</t>
  </si>
  <si>
    <t>Maine</t>
  </si>
  <si>
    <t>2019-01-10</t>
  </si>
  <si>
    <t>Maryland</t>
  </si>
  <si>
    <t>Massachusetts</t>
  </si>
  <si>
    <t>Michigan</t>
  </si>
  <si>
    <t>2014-04-01</t>
  </si>
  <si>
    <t>Minnesota</t>
  </si>
  <si>
    <t>Mississippi</t>
  </si>
  <si>
    <t>Missouri</t>
  </si>
  <si>
    <t>2021-10-01</t>
  </si>
  <si>
    <t>Montana</t>
  </si>
  <si>
    <t>2016-01-01</t>
  </si>
  <si>
    <t>Nebraska</t>
  </si>
  <si>
    <t>2020-10-01</t>
  </si>
  <si>
    <t>Nevada</t>
  </si>
  <si>
    <t>New Hampshire</t>
  </si>
  <si>
    <t>2014-08-15</t>
  </si>
  <si>
    <t>New Jersey</t>
  </si>
  <si>
    <t>New Mexico</t>
  </si>
  <si>
    <t>New York</t>
  </si>
  <si>
    <t>North Carolina</t>
  </si>
  <si>
    <t>2023-12-01</t>
  </si>
  <si>
    <t>North Dakota</t>
  </si>
  <si>
    <t>Ohio</t>
  </si>
  <si>
    <t>Oklahoma</t>
  </si>
  <si>
    <t>2021-07-01</t>
  </si>
  <si>
    <t>Oregon</t>
  </si>
  <si>
    <t>Pennsylvania</t>
  </si>
  <si>
    <t>2015-01-01</t>
  </si>
  <si>
    <t>Rhode Island</t>
  </si>
  <si>
    <t>South Carolina</t>
  </si>
  <si>
    <t>South Dakota</t>
  </si>
  <si>
    <t>2023-07-01</t>
  </si>
  <si>
    <t>Tennessee</t>
  </si>
  <si>
    <t>Texas</t>
  </si>
  <si>
    <t>Utah</t>
  </si>
  <si>
    <t>Vermont</t>
  </si>
  <si>
    <t>Virginia</t>
  </si>
  <si>
    <t>2019-01-01</t>
  </si>
  <si>
    <t>Washington</t>
  </si>
  <si>
    <t>West Virginia</t>
  </si>
  <si>
    <t>Wisconsin</t>
  </si>
  <si>
    <t>Wyoming</t>
  </si>
  <si>
    <t>Variable</t>
  </si>
  <si>
    <t>Description</t>
  </si>
  <si>
    <t>Source file/table</t>
  </si>
  <si>
    <t>Notes</t>
  </si>
  <si>
    <t>U.S. state name</t>
  </si>
  <si>
    <t>All merged files</t>
  </si>
  <si>
    <t>Filtered to the 50 states only.</t>
  </si>
  <si>
    <t>Calendar/data year</t>
  </si>
  <si>
    <t>Panel covers 2020–2024.</t>
  </si>
  <si>
    <t>Average annual employer-sponsored insurance premium, single plan, dollars</t>
  </si>
  <si>
    <t>SHADAC State Health Compare / MEPS-IC</t>
  </si>
  <si>
    <t>Outcome/control depending on model.</t>
  </si>
  <si>
    <t>Average annual employer-sponsored insurance premium, family plan, dollars</t>
  </si>
  <si>
    <t>Recommended premium affordability outcome.</t>
  </si>
  <si>
    <t>Median family medical out-of-pocket spending, dollars</t>
  </si>
  <si>
    <t>SHADAC State Health Compare / CPS ASEC</t>
  </si>
  <si>
    <t>Includes premiums and other OOP spending.</t>
  </si>
  <si>
    <t>Share of people in families where OOP health spending exceeded 10% of income</t>
  </si>
  <si>
    <t>Rate from 0 to 1.</t>
  </si>
  <si>
    <t>Same as prior variable, expressed as percent</t>
  </si>
  <si>
    <t>Derived from SHADAC</t>
  </si>
  <si>
    <t>Rate multiplied by 100.</t>
  </si>
  <si>
    <t>Certificate-of-Need policy indicator</t>
  </si>
  <si>
    <t>con_laws_1962_2024.csv</t>
  </si>
  <si>
    <t>Original uploaded policy dataset.</t>
  </si>
  <si>
    <t>Median household income, dollars</t>
  </si>
  <si>
    <t>ACS 5-Year Data Profile DP03</t>
  </si>
  <si>
    <t>Estimate column DP03_0062E.</t>
  </si>
  <si>
    <t>Percent of all people below poverty level</t>
  </si>
  <si>
    <t>Estimate/percent column DP03_0128PE.</t>
  </si>
  <si>
    <t>Unemployment rate, percent</t>
  </si>
  <si>
    <t>Percent column DP03_0009PE.</t>
  </si>
  <si>
    <t>Total population</t>
  </si>
  <si>
    <t>ACS 5-Year Data Profile DP05</t>
  </si>
  <si>
    <t>Estimate column DP05_0001E.</t>
  </si>
  <si>
    <t>Population age 65 and older</t>
  </si>
  <si>
    <t>Estimate column DP05_0024E.</t>
  </si>
  <si>
    <t>Percent of total population age 65 and older</t>
  </si>
  <si>
    <t>Percent column DP05_0024PE.</t>
  </si>
  <si>
    <t>Percent uninsured among civilian noninstitutionalized population</t>
  </si>
  <si>
    <t>ACS 5-Year Subject Table S2701</t>
  </si>
  <si>
    <t>Estimate column S2701_C05_001E.</t>
  </si>
  <si>
    <t>Indicator for whether Medicaid expansion had been implemented in the state by the end of the given year (1 = implemented; 0 = not implemented).</t>
  </si>
  <si>
    <t>KFF State Health Facts: Status of State Action on the Medicaid Expansion Decision</t>
  </si>
  <si>
    <t>Derived from the KFF implementation date. Current status file was downloaded by the user as raw_data.csv.</t>
  </si>
  <si>
    <t>Date Medicaid expansion was implemented in the state; N/A for states that had not adopted expansion in the KFF file.</t>
  </si>
  <si>
    <t>Used to construct the state-year medicaid_expansion indicator.</t>
  </si>
  <si>
    <t>State personal consumption expenditures on health care, in millions of current dollars.</t>
  </si>
  <si>
    <t>BEA Personal Consumption Expenditures by State, SAPCE4, LineCode 37: Health</t>
  </si>
  <si>
    <t>Extracted for 2020–2024 from SAPCE4__ALL_AREAS_1997_2024.csv.</t>
  </si>
  <si>
    <t>Health care personal consumption expenditures per state resident.</t>
  </si>
  <si>
    <t>Derived from BEA SAPCE4 health PCE and ACS DP05 population</t>
  </si>
  <si>
    <t>Calculated as health_pce_millions × 1,000,000 divided by ACS total population.</t>
  </si>
  <si>
    <t>Natural log of health care PCE per capita.</t>
  </si>
  <si>
    <t>Derived variable</t>
  </si>
  <si>
    <t>Recommended dependent variable for regression because it measures per-capita health care spending and improves model scaling.</t>
  </si>
  <si>
    <t>Year-over-year percent change in health care PCE per capita within each state.</t>
  </si>
  <si>
    <t>Blank for 2020 because 2019 is outside the current merged panel.</t>
  </si>
  <si>
    <t>Check</t>
  </si>
  <si>
    <t>Value</t>
  </si>
  <si>
    <t>Rows in Master_Data</t>
  </si>
  <si>
    <t>Unique states</t>
  </si>
  <si>
    <t>Years covered</t>
  </si>
  <si>
    <t>2020–2024</t>
  </si>
  <si>
    <t>Rows per year 2020</t>
  </si>
  <si>
    <t>Rows per year 2021</t>
  </si>
  <si>
    <t>Rows per year 2022</t>
  </si>
  <si>
    <t>Rows per year 2023</t>
  </si>
  <si>
    <t>Rows per year 2024</t>
  </si>
  <si>
    <t>Missing BEA health PCE matches</t>
  </si>
  <si>
    <t>Missing Medicaid expansion matches</t>
  </si>
  <si>
    <t>New variables added</t>
  </si>
  <si>
    <t>medicaid_expansion, medicaid_expansion_date, health_pce_millions, healthcare_pce_per_capita, log_healthcare_pce_per_capita, healthcare_pce_per_capita_yoy_pct_change</t>
  </si>
  <si>
    <t>BEA source file</t>
  </si>
  <si>
    <t>SAPCE4__ALL_AREAS_1997_2024.csv</t>
  </si>
  <si>
    <t>KFF source file</t>
  </si>
  <si>
    <t>raw_data.csv</t>
  </si>
  <si>
    <t>Per-capita spending formula</t>
  </si>
  <si>
    <t>health_pce_millions × 1,000,000 /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</si>
</sst>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\$#,##0"/>
    <numFmt numFmtId="166" formatCode="#,##0.0"/>
    <numFmt numFmtId="167" formatCode="0.0000"/>
  </numFmts>
  <fonts count="2">
    <font>
      <sz val="11"/>
      <name val="Carlito"/>
    </font>
    <font>
      <b/>
      <sz val="11"/>
      <color rgb="FF1F2937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1"/>
  <sheetViews>
    <sheetView tabSelected="1" zoomScaleNormal="100" zoomScaleSheetLayoutView="100" workbookViewId="0"/>
  </sheetViews>
  <sheetFormatPr defaultRowHeight="15"/>
  <cols>
    <col min="1" max="1" width="18" customWidth="1"/>
    <col min="2" max="2" width="10" customWidth="1"/>
    <col min="3" max="5" width="15" customWidth="1"/>
    <col min="6" max="7" width="18" customWidth="1"/>
    <col min="8" max="8" width="10" customWidth="1"/>
    <col min="9" max="9" width="18" customWidth="1"/>
    <col min="10" max="11" width="14" customWidth="1"/>
    <col min="12" max="13" width="16" customWidth="1"/>
    <col min="14" max="15" width="14" customWidth="1"/>
    <col min="16" max="16" width="18" customWidth="1"/>
    <col min="17" max="17" width="22" customWidth="1"/>
    <col min="18" max="18" width="18" customWidth="1"/>
    <col min="19" max="19" width="22" customWidth="1"/>
    <col min="20" max="20" width="24" customWidth="1"/>
    <col min="21" max="21" width="28" customWidth="1"/>
  </cols>
  <sheetData>
    <row r="1" spans="1:2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>
      <c r="A2" t="s">
        <v>21</v>
      </c>
      <c r="B2" s="1">
        <v>2020</v>
      </c>
      <c r="C2" s="6">
        <v>6393</v>
      </c>
      <c r="D2" s="6">
        <v>17324</v>
      </c>
      <c r="E2" s="6">
        <v>1400</v>
      </c>
      <c r="F2" s="3">
        <v>0.18987000000000001</v>
      </c>
      <c r="G2" s="3">
        <v>18.987000000000002</v>
      </c>
      <c r="H2" s="1">
        <v>1</v>
      </c>
      <c r="I2" s="6">
        <v>52035</v>
      </c>
      <c r="J2" s="3">
        <v>16</v>
      </c>
      <c r="K2" s="3">
        <v>5.6</v>
      </c>
      <c r="L2" s="2">
        <v>4893186</v>
      </c>
      <c r="M2" s="2">
        <v>827434</v>
      </c>
      <c r="N2" s="3">
        <v>16.899999999999999</v>
      </c>
      <c r="O2" s="3">
        <v>9.5</v>
      </c>
      <c r="P2" s="1">
        <v>0</v>
      </c>
      <c r="Q2" t="s">
        <v>22</v>
      </c>
      <c r="R2" s="7">
        <v>40131.699999999997</v>
      </c>
      <c r="S2" s="6">
        <f>R2*1000000/L2</f>
        <v>8201.5480302608557</v>
      </c>
      <c r="T2" s="8">
        <f>LN(S2)</f>
        <v>9.0120781996130077</v>
      </c>
      <c r="U2" s="3" t="str">
        <f>IF(B2=2020,"",IF(A2=A1,(S2/S1-1)*100,""))</f>
        <v/>
      </c>
    </row>
    <row r="3" spans="1:21">
      <c r="A3" t="s">
        <v>21</v>
      </c>
      <c r="B3" s="1">
        <v>2021</v>
      </c>
      <c r="C3" s="6">
        <v>6719</v>
      </c>
      <c r="D3" s="6">
        <v>19539</v>
      </c>
      <c r="E3" s="6">
        <v>1550</v>
      </c>
      <c r="F3" s="3">
        <v>0.20397000000000001</v>
      </c>
      <c r="G3" s="3">
        <v>20.397000000000002</v>
      </c>
      <c r="H3" s="1">
        <v>1</v>
      </c>
      <c r="I3" s="6">
        <v>54943</v>
      </c>
      <c r="J3" s="3">
        <v>15.8</v>
      </c>
      <c r="K3" s="3">
        <v>5.4</v>
      </c>
      <c r="L3" s="2">
        <v>4997675</v>
      </c>
      <c r="M3" s="2">
        <v>844427</v>
      </c>
      <c r="N3" s="3">
        <v>16.899999999999999</v>
      </c>
      <c r="O3" s="3">
        <v>9.6999999999999993</v>
      </c>
      <c r="P3" s="1">
        <v>0</v>
      </c>
      <c r="Q3" t="s">
        <v>22</v>
      </c>
      <c r="R3" s="7">
        <v>44099.5</v>
      </c>
      <c r="S3" s="6">
        <f>R3*1000000/L3</f>
        <v>8824.0031614700838</v>
      </c>
      <c r="T3" s="8">
        <f>LN(S3)</f>
        <v>9.0852309192141085</v>
      </c>
      <c r="U3" s="3">
        <f>IF(B3=2020,"",IF(A3=A2,(S3/S2-1)*100,""))</f>
        <v>7.5894834598613015</v>
      </c>
    </row>
    <row r="4" spans="1:21">
      <c r="A4" t="s">
        <v>21</v>
      </c>
      <c r="B4" s="1">
        <v>2022</v>
      </c>
      <c r="C4" s="6">
        <v>6769</v>
      </c>
      <c r="D4" s="6">
        <v>19575</v>
      </c>
      <c r="E4" s="6">
        <v>1300</v>
      </c>
      <c r="F4" s="3">
        <v>0.18761</v>
      </c>
      <c r="G4" s="3">
        <v>18.760999999999999</v>
      </c>
      <c r="H4" s="1">
        <v>1</v>
      </c>
      <c r="I4" s="6">
        <v>59609</v>
      </c>
      <c r="J4" s="3">
        <v>15.7</v>
      </c>
      <c r="K4" s="3">
        <v>5.2</v>
      </c>
      <c r="L4" s="2">
        <v>5028092</v>
      </c>
      <c r="M4" s="2">
        <v>871034</v>
      </c>
      <c r="N4" s="3">
        <v>17.3</v>
      </c>
      <c r="O4" s="3">
        <v>9.5</v>
      </c>
      <c r="P4" s="1">
        <v>0</v>
      </c>
      <c r="Q4" t="s">
        <v>22</v>
      </c>
      <c r="R4" s="7">
        <v>46674.9</v>
      </c>
      <c r="S4" s="6">
        <f>R4*1000000/L4</f>
        <v>9282.8253739191732</v>
      </c>
      <c r="T4" s="8">
        <f>LN(S4)</f>
        <v>9.1359212378386569</v>
      </c>
      <c r="U4" s="3">
        <f>IF(B4=2020,"",IF(A4=A3,(S4/S3-1)*100,""))</f>
        <v>5.1997058937210294</v>
      </c>
    </row>
    <row r="5" spans="1:21">
      <c r="A5" t="s">
        <v>21</v>
      </c>
      <c r="B5" s="1">
        <v>2023</v>
      </c>
      <c r="C5" s="6">
        <v>7645</v>
      </c>
      <c r="D5" s="6">
        <v>21102</v>
      </c>
      <c r="E5" s="6">
        <v>1040</v>
      </c>
      <c r="F5" s="3">
        <v>0.13119</v>
      </c>
      <c r="G5" s="3">
        <v>13.119</v>
      </c>
      <c r="H5" s="1">
        <v>1</v>
      </c>
      <c r="I5" s="6">
        <v>62027</v>
      </c>
      <c r="J5" s="3">
        <v>15.6</v>
      </c>
      <c r="K5" s="3">
        <v>4.8</v>
      </c>
      <c r="L5" s="2">
        <v>5054253</v>
      </c>
      <c r="M5" s="2">
        <v>884210</v>
      </c>
      <c r="N5" s="3">
        <v>17.5</v>
      </c>
      <c r="O5" s="3">
        <v>9.4</v>
      </c>
      <c r="P5" s="1">
        <v>0</v>
      </c>
      <c r="Q5" t="s">
        <v>22</v>
      </c>
      <c r="R5" s="7">
        <v>49880.800000000003</v>
      </c>
      <c r="S5" s="6">
        <f>R5*1000000/L5</f>
        <v>9869.0746189397323</v>
      </c>
      <c r="T5" s="8">
        <f>LN(S5)</f>
        <v>9.1971613710857412</v>
      </c>
      <c r="U5" s="3">
        <f>IF(B5=2020,"",IF(A5=A4,(S5/S4-1)*100,""))</f>
        <v>6.315418220272373</v>
      </c>
    </row>
    <row r="6" spans="1:21">
      <c r="A6" t="s">
        <v>21</v>
      </c>
      <c r="B6" s="1">
        <v>2024</v>
      </c>
      <c r="C6" s="6">
        <v>7856</v>
      </c>
      <c r="D6" s="6">
        <v>23986</v>
      </c>
      <c r="E6" s="6">
        <v>1450</v>
      </c>
      <c r="F6" s="3">
        <v>0.15329999999999999</v>
      </c>
      <c r="G6" s="3">
        <v>15.329999999999998</v>
      </c>
      <c r="H6" s="1">
        <v>1</v>
      </c>
      <c r="I6" s="6">
        <v>63999</v>
      </c>
      <c r="J6" s="3">
        <v>15.6</v>
      </c>
      <c r="K6" s="3">
        <v>4.7</v>
      </c>
      <c r="L6" s="2">
        <v>5086768</v>
      </c>
      <c r="M6" s="2">
        <v>904259</v>
      </c>
      <c r="N6" s="3">
        <v>17.8</v>
      </c>
      <c r="O6" s="3">
        <v>9.1999999999999993</v>
      </c>
      <c r="P6" s="1">
        <v>0</v>
      </c>
      <c r="Q6" t="s">
        <v>22</v>
      </c>
      <c r="R6" s="7">
        <v>53532.9</v>
      </c>
      <c r="S6" s="6">
        <f>R6*1000000/L6</f>
        <v>10523.951554307176</v>
      </c>
      <c r="T6" s="8">
        <f>LN(S6)</f>
        <v>9.2614090387960317</v>
      </c>
      <c r="U6" s="3">
        <f>IF(B6=2020,"",IF(A6=A5,(S6/S5-1)*100,""))</f>
        <v>6.635646812424234</v>
      </c>
    </row>
    <row r="7" spans="1:21">
      <c r="A7" t="s">
        <v>23</v>
      </c>
      <c r="B7" s="1">
        <v>2020</v>
      </c>
      <c r="C7" s="6">
        <v>8635</v>
      </c>
      <c r="D7" s="6">
        <v>21809</v>
      </c>
      <c r="E7" s="6">
        <v>940</v>
      </c>
      <c r="F7" s="3">
        <v>0.13813</v>
      </c>
      <c r="G7" s="3">
        <v>13.813000000000001</v>
      </c>
      <c r="H7" s="1">
        <v>1</v>
      </c>
      <c r="I7" s="6">
        <v>77790</v>
      </c>
      <c r="J7" s="3">
        <v>10.3</v>
      </c>
      <c r="K7" s="3">
        <v>7.2</v>
      </c>
      <c r="L7" s="2">
        <v>736990</v>
      </c>
      <c r="M7" s="2">
        <v>87629</v>
      </c>
      <c r="N7" s="3">
        <v>11.9</v>
      </c>
      <c r="O7" s="3">
        <v>12.6</v>
      </c>
      <c r="P7" s="1">
        <v>1</v>
      </c>
      <c r="Q7" t="s">
        <v>24</v>
      </c>
      <c r="R7" s="7">
        <v>8059.7</v>
      </c>
      <c r="S7" s="6">
        <f>R7*1000000/L7</f>
        <v>10935.969280451567</v>
      </c>
      <c r="T7" s="8">
        <f>LN(S7)</f>
        <v>9.2998125693701734</v>
      </c>
      <c r="U7" s="3" t="str">
        <f>IF(B7=2020,"",IF(A7=A6,(S7/S6-1)*100,""))</f>
        <v/>
      </c>
    </row>
    <row r="8" spans="1:21">
      <c r="A8" t="s">
        <v>23</v>
      </c>
      <c r="B8" s="1">
        <v>2021</v>
      </c>
      <c r="C8" s="6">
        <v>9037</v>
      </c>
      <c r="D8" s="6">
        <v>23438</v>
      </c>
      <c r="E8" s="6">
        <v>1100</v>
      </c>
      <c r="F8" s="3">
        <v>0.13342000000000001</v>
      </c>
      <c r="G8" s="3">
        <v>13.342000000000001</v>
      </c>
      <c r="H8" s="1">
        <v>1</v>
      </c>
      <c r="I8" s="6">
        <v>80287</v>
      </c>
      <c r="J8" s="3">
        <v>10.4</v>
      </c>
      <c r="K8" s="3">
        <v>6.9</v>
      </c>
      <c r="L8" s="2">
        <v>735951</v>
      </c>
      <c r="M8" s="2">
        <v>90188</v>
      </c>
      <c r="N8" s="3">
        <v>12.3</v>
      </c>
      <c r="O8" s="3">
        <v>12.2</v>
      </c>
      <c r="P8" s="1">
        <v>1</v>
      </c>
      <c r="Q8" t="s">
        <v>24</v>
      </c>
      <c r="R8" s="7">
        <v>8966.6</v>
      </c>
      <c r="S8" s="6">
        <f>R8*1000000/L8</f>
        <v>12183.691577292509</v>
      </c>
      <c r="T8" s="8">
        <f>LN(S8)</f>
        <v>9.4078535805064476</v>
      </c>
      <c r="U8" s="3">
        <f>IF(B8=2020,"",IF(A8=A7,(S8/S7-1)*100,""))</f>
        <v>11.409343468724709</v>
      </c>
    </row>
    <row r="9" spans="1:21">
      <c r="A9" t="s">
        <v>23</v>
      </c>
      <c r="B9" s="1">
        <v>2022</v>
      </c>
      <c r="C9" s="6">
        <v>8624</v>
      </c>
      <c r="D9" s="6">
        <v>25892</v>
      </c>
      <c r="E9" s="6">
        <v>1450</v>
      </c>
      <c r="F9" s="3">
        <v>0.14161000000000001</v>
      </c>
      <c r="G9" s="3">
        <v>14.161000000000001</v>
      </c>
      <c r="H9" s="1">
        <v>1</v>
      </c>
      <c r="I9" s="6">
        <v>86370</v>
      </c>
      <c r="J9" s="3">
        <v>10.5</v>
      </c>
      <c r="K9" s="3">
        <v>6.4</v>
      </c>
      <c r="L9" s="2">
        <v>734821</v>
      </c>
      <c r="M9" s="2">
        <v>94160</v>
      </c>
      <c r="N9" s="3">
        <v>12.8</v>
      </c>
      <c r="O9" s="3">
        <v>11.7</v>
      </c>
      <c r="P9" s="1">
        <v>1</v>
      </c>
      <c r="Q9" t="s">
        <v>24</v>
      </c>
      <c r="R9" s="7">
        <v>9854.1</v>
      </c>
      <c r="S9" s="6">
        <f>R9*1000000/L9</f>
        <v>13410.204662087774</v>
      </c>
      <c r="T9" s="8">
        <f>LN(S9)</f>
        <v>9.5037712380599171</v>
      </c>
      <c r="U9" s="3">
        <f>IF(B9=2020,"",IF(A9=A8,(S9/S8-1)*100,""))</f>
        <v>10.066842853123358</v>
      </c>
    </row>
    <row r="10" spans="1:21">
      <c r="A10" t="s">
        <v>23</v>
      </c>
      <c r="B10" s="1">
        <v>2023</v>
      </c>
      <c r="C10" s="6">
        <v>9096</v>
      </c>
      <c r="D10" s="6">
        <v>25876</v>
      </c>
      <c r="E10" s="6">
        <v>2125</v>
      </c>
      <c r="F10" s="3">
        <v>0.14445</v>
      </c>
      <c r="G10" s="3">
        <v>14.445</v>
      </c>
      <c r="H10" s="1">
        <v>1</v>
      </c>
      <c r="I10" s="6">
        <v>89336</v>
      </c>
      <c r="J10" s="3">
        <v>10.199999999999999</v>
      </c>
      <c r="K10" s="3">
        <v>5.8</v>
      </c>
      <c r="L10" s="2">
        <v>733971</v>
      </c>
      <c r="M10" s="2">
        <v>97815</v>
      </c>
      <c r="N10" s="3">
        <v>13.3</v>
      </c>
      <c r="O10" s="3">
        <v>11.2</v>
      </c>
      <c r="P10" s="1">
        <v>1</v>
      </c>
      <c r="Q10" t="s">
        <v>24</v>
      </c>
      <c r="R10" s="7">
        <v>10676.1</v>
      </c>
      <c r="S10" s="6">
        <f>R10*1000000/L10</f>
        <v>14545.670060533726</v>
      </c>
      <c r="T10" s="8">
        <f>LN(S10)</f>
        <v>9.5850486379695212</v>
      </c>
      <c r="U10" s="3">
        <f>IF(B10=2020,"",IF(A10=A9,(S10/S9-1)*100,""))</f>
        <v>8.4671742680858983</v>
      </c>
    </row>
    <row r="11" spans="1:21">
      <c r="A11" t="s">
        <v>23</v>
      </c>
      <c r="B11" s="1">
        <v>2024</v>
      </c>
      <c r="C11" s="6">
        <v>9326</v>
      </c>
      <c r="D11" s="6">
        <v>25493</v>
      </c>
      <c r="E11" s="6">
        <v>1920</v>
      </c>
      <c r="F11" s="3">
        <v>0.11803</v>
      </c>
      <c r="G11" s="3">
        <v>11.802999999999999</v>
      </c>
      <c r="H11" s="1">
        <v>1</v>
      </c>
      <c r="I11" s="6">
        <v>92788</v>
      </c>
      <c r="J11" s="3">
        <v>10.1</v>
      </c>
      <c r="K11" s="3">
        <v>5.9</v>
      </c>
      <c r="L11" s="2">
        <v>735706</v>
      </c>
      <c r="M11" s="2">
        <v>101694</v>
      </c>
      <c r="N11" s="3">
        <v>13.8</v>
      </c>
      <c r="O11" s="3">
        <v>11</v>
      </c>
      <c r="P11" s="1">
        <v>1</v>
      </c>
      <c r="Q11" t="s">
        <v>24</v>
      </c>
      <c r="R11" s="7">
        <v>11579.5</v>
      </c>
      <c r="S11" s="6">
        <f>R11*1000000/L11</f>
        <v>15739.303471767254</v>
      </c>
      <c r="T11" s="8">
        <f>LN(S11)</f>
        <v>9.6639162688808842</v>
      </c>
      <c r="U11" s="3">
        <f>IF(B11=2020,"",IF(A11=A10,(S11/S10-1)*100,""))</f>
        <v>8.2061081151027402</v>
      </c>
    </row>
    <row r="12" spans="1:21">
      <c r="A12" t="s">
        <v>25</v>
      </c>
      <c r="B12" s="1">
        <v>2020</v>
      </c>
      <c r="C12" s="6">
        <v>6612</v>
      </c>
      <c r="D12" s="6">
        <v>19808</v>
      </c>
      <c r="E12" s="6">
        <v>1630</v>
      </c>
      <c r="F12" s="3">
        <v>0.17927000000000001</v>
      </c>
      <c r="G12" s="3">
        <v>17.927</v>
      </c>
      <c r="H12" s="1">
        <v>0</v>
      </c>
      <c r="I12" s="6">
        <v>61529</v>
      </c>
      <c r="J12" s="3">
        <v>14.1</v>
      </c>
      <c r="K12" s="3">
        <v>5.8</v>
      </c>
      <c r="L12" s="2">
        <v>7174064</v>
      </c>
      <c r="M12" s="2">
        <v>1262204</v>
      </c>
      <c r="N12" s="3">
        <v>17.600000000000001</v>
      </c>
      <c r="O12" s="3">
        <v>10.6</v>
      </c>
      <c r="P12" s="1">
        <v>1</v>
      </c>
      <c r="Q12" t="s">
        <v>26</v>
      </c>
      <c r="R12" s="7">
        <v>57495.1</v>
      </c>
      <c r="S12" s="6">
        <f>R12*1000000/L12</f>
        <v>8014.2998445511494</v>
      </c>
      <c r="T12" s="8">
        <f>LN(S12)</f>
        <v>8.9889827055886453</v>
      </c>
      <c r="U12" s="3" t="str">
        <f>IF(B12=2020,"",IF(A12=A11,(S12/S11-1)*100,""))</f>
        <v/>
      </c>
    </row>
    <row r="13" spans="1:21">
      <c r="A13" t="s">
        <v>25</v>
      </c>
      <c r="B13" s="1">
        <v>2021</v>
      </c>
      <c r="C13" s="6">
        <v>6728</v>
      </c>
      <c r="D13" s="6">
        <v>20117</v>
      </c>
      <c r="E13" s="6">
        <v>1700</v>
      </c>
      <c r="F13" s="3">
        <v>0.16913</v>
      </c>
      <c r="G13" s="3">
        <v>16.913</v>
      </c>
      <c r="H13" s="1">
        <v>0</v>
      </c>
      <c r="I13" s="6">
        <v>65913</v>
      </c>
      <c r="J13" s="3">
        <v>13.5</v>
      </c>
      <c r="K13" s="3">
        <v>5.6</v>
      </c>
      <c r="L13" s="2">
        <v>7079203</v>
      </c>
      <c r="M13" s="2">
        <v>1243859</v>
      </c>
      <c r="N13" s="3">
        <v>17.600000000000001</v>
      </c>
      <c r="O13" s="3">
        <v>10.7</v>
      </c>
      <c r="P13" s="1">
        <v>1</v>
      </c>
      <c r="Q13" t="s">
        <v>26</v>
      </c>
      <c r="R13" s="7">
        <v>63675.5</v>
      </c>
      <c r="S13" s="6">
        <f>R13*1000000/L13</f>
        <v>8994.7272312999085</v>
      </c>
      <c r="T13" s="8">
        <f>LN(S13)</f>
        <v>9.1043938214445603</v>
      </c>
      <c r="U13" s="3">
        <f>IF(B13=2020,"",IF(A13=A12,(S13/S12-1)*100,""))</f>
        <v>12.233475235086733</v>
      </c>
    </row>
    <row r="14" spans="1:21">
      <c r="A14" t="s">
        <v>25</v>
      </c>
      <c r="B14" s="1">
        <v>2022</v>
      </c>
      <c r="C14" s="6">
        <v>7214</v>
      </c>
      <c r="D14" s="6">
        <v>21427</v>
      </c>
      <c r="E14" s="6">
        <v>1700</v>
      </c>
      <c r="F14" s="3">
        <v>0.17513999999999999</v>
      </c>
      <c r="G14" s="3">
        <v>17.513999999999999</v>
      </c>
      <c r="H14" s="1">
        <v>0</v>
      </c>
      <c r="I14" s="6">
        <v>72581</v>
      </c>
      <c r="J14" s="3">
        <v>13.1</v>
      </c>
      <c r="K14" s="3">
        <v>5.4</v>
      </c>
      <c r="L14" s="2">
        <v>7172282</v>
      </c>
      <c r="M14" s="2">
        <v>1297802</v>
      </c>
      <c r="N14" s="3">
        <v>18.100000000000001</v>
      </c>
      <c r="O14" s="3">
        <v>10.8</v>
      </c>
      <c r="P14" s="1">
        <v>1</v>
      </c>
      <c r="Q14" t="s">
        <v>26</v>
      </c>
      <c r="R14" s="7">
        <v>68305.100000000006</v>
      </c>
      <c r="S14" s="6">
        <f>R14*1000000/L14</f>
        <v>9523.4822055239893</v>
      </c>
      <c r="T14" s="8">
        <f>LN(S14)</f>
        <v>9.161515838796161</v>
      </c>
      <c r="U14" s="3">
        <f>IF(B14=2020,"",IF(A14=A13,(S14/S13-1)*100,""))</f>
        <v>5.8784992654820734</v>
      </c>
    </row>
    <row r="15" spans="1:21">
      <c r="A15" t="s">
        <v>25</v>
      </c>
      <c r="B15" s="1">
        <v>2023</v>
      </c>
      <c r="C15" s="6">
        <v>7981</v>
      </c>
      <c r="D15" s="6">
        <v>23758</v>
      </c>
      <c r="E15" s="6">
        <v>1730</v>
      </c>
      <c r="F15" s="3">
        <v>0.15916</v>
      </c>
      <c r="G15" s="3">
        <v>15.916</v>
      </c>
      <c r="H15" s="1">
        <v>0</v>
      </c>
      <c r="I15" s="6">
        <v>76872</v>
      </c>
      <c r="J15" s="3">
        <v>12.8</v>
      </c>
      <c r="K15" s="3">
        <v>5.2</v>
      </c>
      <c r="L15" s="2">
        <v>7268175</v>
      </c>
      <c r="M15" s="2">
        <v>1349934</v>
      </c>
      <c r="N15" s="3">
        <v>18.600000000000001</v>
      </c>
      <c r="O15" s="3">
        <v>10.6</v>
      </c>
      <c r="P15" s="1">
        <v>1</v>
      </c>
      <c r="Q15" t="s">
        <v>26</v>
      </c>
      <c r="R15" s="7">
        <v>74883.3</v>
      </c>
      <c r="S15" s="6">
        <f>R15*1000000/L15</f>
        <v>10302.902723173287</v>
      </c>
      <c r="T15" s="8">
        <f>LN(S15)</f>
        <v>9.2401809522983687</v>
      </c>
      <c r="U15" s="3">
        <f>IF(B15=2020,"",IF(A15=A14,(S15/S14-1)*100,""))</f>
        <v>8.1841967132274753</v>
      </c>
    </row>
    <row r="16" spans="1:21">
      <c r="A16" t="s">
        <v>25</v>
      </c>
      <c r="B16" s="1">
        <v>2024</v>
      </c>
      <c r="C16" s="6">
        <v>8311</v>
      </c>
      <c r="D16" s="6">
        <v>23132</v>
      </c>
      <c r="E16" s="6">
        <v>1900</v>
      </c>
      <c r="F16" s="3">
        <v>0.15214</v>
      </c>
      <c r="G16" s="3">
        <v>15.214</v>
      </c>
      <c r="H16" s="1">
        <v>0</v>
      </c>
      <c r="I16" s="6">
        <v>79964</v>
      </c>
      <c r="J16" s="3">
        <v>12.5</v>
      </c>
      <c r="K16" s="3">
        <v>5.0999999999999996</v>
      </c>
      <c r="L16" s="2">
        <v>7378838</v>
      </c>
      <c r="M16" s="2">
        <v>1397551</v>
      </c>
      <c r="N16" s="3">
        <v>18.899999999999999</v>
      </c>
      <c r="O16" s="3">
        <v>10.5</v>
      </c>
      <c r="P16" s="1">
        <v>1</v>
      </c>
      <c r="Q16" t="s">
        <v>26</v>
      </c>
      <c r="R16" s="7">
        <v>81811.600000000006</v>
      </c>
      <c r="S16" s="6">
        <f>R16*1000000/L16</f>
        <v>11087.328384225268</v>
      </c>
      <c r="T16" s="8">
        <f>LN(S16)</f>
        <v>9.3135581481869067</v>
      </c>
      <c r="U16" s="3">
        <f>IF(B16=2020,"",IF(A16=A15,(S16/S15-1)*100,""))</f>
        <v>7.613637458574174</v>
      </c>
    </row>
    <row r="17" spans="1:21">
      <c r="A17" t="s">
        <v>27</v>
      </c>
      <c r="B17" s="1">
        <v>2020</v>
      </c>
      <c r="C17" s="6">
        <v>6414</v>
      </c>
      <c r="D17" s="6">
        <v>17093</v>
      </c>
      <c r="E17" s="6">
        <v>1400</v>
      </c>
      <c r="F17" s="3">
        <v>0.22308</v>
      </c>
      <c r="G17" s="3">
        <v>22.308</v>
      </c>
      <c r="H17" s="1">
        <v>1</v>
      </c>
      <c r="I17" s="6">
        <v>49475</v>
      </c>
      <c r="J17" s="3">
        <v>16.100000000000001</v>
      </c>
      <c r="K17" s="3">
        <v>5.2</v>
      </c>
      <c r="L17" s="2">
        <v>3011873</v>
      </c>
      <c r="M17" s="2">
        <v>510117</v>
      </c>
      <c r="N17" s="3">
        <v>16.899999999999999</v>
      </c>
      <c r="O17" s="3">
        <v>8.3000000000000007</v>
      </c>
      <c r="P17" s="1">
        <v>1</v>
      </c>
      <c r="Q17" t="s">
        <v>26</v>
      </c>
      <c r="R17" s="7">
        <v>23760.9</v>
      </c>
      <c r="S17" s="6">
        <f>R17*1000000/L17</f>
        <v>7889.0776603130344</v>
      </c>
      <c r="T17" s="8">
        <f>LN(S17)</f>
        <v>8.9732345071730197</v>
      </c>
      <c r="U17" s="3" t="str">
        <f>IF(B17=2020,"",IF(A17=A16,(S17/S16-1)*100,""))</f>
        <v/>
      </c>
    </row>
    <row r="18" spans="1:21">
      <c r="A18" t="s">
        <v>27</v>
      </c>
      <c r="B18" s="1">
        <v>2021</v>
      </c>
      <c r="C18" s="6">
        <v>6340</v>
      </c>
      <c r="D18" s="6">
        <v>18339</v>
      </c>
      <c r="E18" s="6">
        <v>1640</v>
      </c>
      <c r="F18" s="3">
        <v>0.21511</v>
      </c>
      <c r="G18" s="3">
        <v>21.510999999999999</v>
      </c>
      <c r="H18" s="1">
        <v>1</v>
      </c>
      <c r="I18" s="6">
        <v>52123</v>
      </c>
      <c r="J18" s="3">
        <v>16</v>
      </c>
      <c r="K18" s="3">
        <v>5.3</v>
      </c>
      <c r="L18" s="2">
        <v>3006309</v>
      </c>
      <c r="M18" s="2">
        <v>505361</v>
      </c>
      <c r="N18" s="3">
        <v>16.8</v>
      </c>
      <c r="O18" s="3">
        <v>8.6999999999999993</v>
      </c>
      <c r="P18" s="1">
        <v>1</v>
      </c>
      <c r="Q18" t="s">
        <v>26</v>
      </c>
      <c r="R18" s="7">
        <v>25982</v>
      </c>
      <c r="S18" s="6">
        <f>R18*1000000/L18</f>
        <v>8642.4915070273873</v>
      </c>
      <c r="T18" s="8">
        <f>LN(S18)</f>
        <v>9.0644461890967012</v>
      </c>
      <c r="U18" s="3">
        <f>IF(B18=2020,"",IF(A18=A17,(S18/S17-1)*100,""))</f>
        <v>9.550087844926324</v>
      </c>
    </row>
    <row r="19" spans="1:21">
      <c r="A19" t="s">
        <v>27</v>
      </c>
      <c r="B19" s="1">
        <v>2022</v>
      </c>
      <c r="C19" s="6">
        <v>6861</v>
      </c>
      <c r="D19" s="6">
        <v>19513</v>
      </c>
      <c r="E19" s="6">
        <v>1390</v>
      </c>
      <c r="F19" s="3">
        <v>0.19583999999999999</v>
      </c>
      <c r="G19" s="3">
        <v>19.584</v>
      </c>
      <c r="H19" s="1">
        <v>1</v>
      </c>
      <c r="I19" s="6">
        <v>56335</v>
      </c>
      <c r="J19" s="3">
        <v>16.2</v>
      </c>
      <c r="K19" s="3">
        <v>5.0999999999999996</v>
      </c>
      <c r="L19" s="2">
        <v>3018669</v>
      </c>
      <c r="M19" s="2">
        <v>519434</v>
      </c>
      <c r="N19" s="3">
        <v>17.2</v>
      </c>
      <c r="O19" s="3">
        <v>8.8000000000000007</v>
      </c>
      <c r="P19" s="1">
        <v>1</v>
      </c>
      <c r="Q19" t="s">
        <v>26</v>
      </c>
      <c r="R19" s="7">
        <v>28151.3</v>
      </c>
      <c r="S19" s="6">
        <f>R19*1000000/L19</f>
        <v>9325.7326324946516</v>
      </c>
      <c r="T19" s="8">
        <f>LN(S19)</f>
        <v>9.1405328079131944</v>
      </c>
      <c r="U19" s="3">
        <f>IF(B19=2020,"",IF(A19=A18,(S19/S18-1)*100,""))</f>
        <v>7.90560366662445</v>
      </c>
    </row>
    <row r="20" spans="1:21">
      <c r="A20" t="s">
        <v>27</v>
      </c>
      <c r="B20" s="1">
        <v>2023</v>
      </c>
      <c r="C20" s="6">
        <v>7362</v>
      </c>
      <c r="D20" s="6">
        <v>20562</v>
      </c>
      <c r="E20" s="6">
        <v>2000</v>
      </c>
      <c r="F20" s="3">
        <v>0.17086999999999999</v>
      </c>
      <c r="G20" s="3">
        <v>17.087</v>
      </c>
      <c r="H20" s="1">
        <v>1</v>
      </c>
      <c r="I20" s="6">
        <v>58773</v>
      </c>
      <c r="J20" s="3">
        <v>16</v>
      </c>
      <c r="K20" s="3">
        <v>5.0999999999999996</v>
      </c>
      <c r="L20" s="2">
        <v>3032651</v>
      </c>
      <c r="M20" s="2">
        <v>525644</v>
      </c>
      <c r="N20" s="3">
        <v>17.3</v>
      </c>
      <c r="O20" s="3">
        <v>9</v>
      </c>
      <c r="P20" s="1">
        <v>1</v>
      </c>
      <c r="Q20" t="s">
        <v>26</v>
      </c>
      <c r="R20" s="7">
        <v>30385.7</v>
      </c>
      <c r="S20" s="6">
        <f>R20*1000000/L20</f>
        <v>10019.517577195662</v>
      </c>
      <c r="T20" s="8">
        <f>LN(S20)</f>
        <v>9.2122902274913443</v>
      </c>
      <c r="U20" s="3">
        <f>IF(B20=2020,"",IF(A20=A19,(S20/S19-1)*100,""))</f>
        <v>7.4394685333737831</v>
      </c>
    </row>
    <row r="21" spans="1:21">
      <c r="A21" t="s">
        <v>27</v>
      </c>
      <c r="B21" s="1">
        <v>2024</v>
      </c>
      <c r="C21" s="6">
        <v>7533</v>
      </c>
      <c r="D21" s="6">
        <v>22069</v>
      </c>
      <c r="E21" s="6">
        <v>1600</v>
      </c>
      <c r="F21" s="3">
        <v>0.17076</v>
      </c>
      <c r="G21" s="3">
        <v>17.076000000000001</v>
      </c>
      <c r="H21" s="1">
        <v>1</v>
      </c>
      <c r="I21" s="6">
        <v>60773</v>
      </c>
      <c r="J21" s="3">
        <v>16</v>
      </c>
      <c r="K21" s="3">
        <v>4.9000000000000004</v>
      </c>
      <c r="L21" s="2">
        <v>3049391</v>
      </c>
      <c r="M21" s="2">
        <v>535977</v>
      </c>
      <c r="N21" s="3">
        <v>17.600000000000001</v>
      </c>
      <c r="O21" s="3">
        <v>9</v>
      </c>
      <c r="P21" s="1">
        <v>1</v>
      </c>
      <c r="Q21" t="s">
        <v>26</v>
      </c>
      <c r="R21" s="7">
        <v>32330.2</v>
      </c>
      <c r="S21" s="6">
        <f>R21*1000000/L21</f>
        <v>10602.182534151902</v>
      </c>
      <c r="T21" s="8">
        <f>LN(S21)</f>
        <v>9.2688151583540694</v>
      </c>
      <c r="U21" s="3">
        <f>IF(B21=2020,"",IF(A21=A20,(S21/S20-1)*100,""))</f>
        <v>5.8152995138446517</v>
      </c>
    </row>
    <row r="22" spans="1:21">
      <c r="A22" t="s">
        <v>28</v>
      </c>
      <c r="B22" s="1">
        <v>2020</v>
      </c>
      <c r="C22" s="6">
        <v>7173</v>
      </c>
      <c r="D22" s="6">
        <v>21137</v>
      </c>
      <c r="E22" s="6">
        <v>1000</v>
      </c>
      <c r="F22" s="3">
        <v>0.14613999999999999</v>
      </c>
      <c r="G22" s="3">
        <v>14.613999999999999</v>
      </c>
      <c r="H22" s="1">
        <v>0</v>
      </c>
      <c r="I22" s="6">
        <v>78672</v>
      </c>
      <c r="J22" s="3">
        <v>12.6</v>
      </c>
      <c r="K22" s="3">
        <v>6.2</v>
      </c>
      <c r="L22" s="2">
        <v>39346023</v>
      </c>
      <c r="M22" s="2">
        <v>5644497</v>
      </c>
      <c r="N22" s="3">
        <v>14.3</v>
      </c>
      <c r="O22" s="3">
        <v>7.2</v>
      </c>
      <c r="P22" s="1">
        <v>1</v>
      </c>
      <c r="Q22" t="s">
        <v>26</v>
      </c>
      <c r="R22" s="7">
        <v>371178.4</v>
      </c>
      <c r="S22" s="6">
        <f>R22*1000000/L22</f>
        <v>9433.6954970010556</v>
      </c>
      <c r="T22" s="8">
        <f>LN(S22)</f>
        <v>9.1520431861345077</v>
      </c>
      <c r="U22" s="3" t="str">
        <f>IF(B22=2020,"",IF(A22=A21,(S22/S21-1)*100,""))</f>
        <v/>
      </c>
    </row>
    <row r="23" spans="1:21">
      <c r="A23" t="s">
        <v>28</v>
      </c>
      <c r="B23" s="1">
        <v>2021</v>
      </c>
      <c r="C23" s="6">
        <v>7574</v>
      </c>
      <c r="D23" s="6">
        <v>21830</v>
      </c>
      <c r="E23" s="6">
        <v>1000</v>
      </c>
      <c r="F23" s="3">
        <v>0.12767000000000001</v>
      </c>
      <c r="G23" s="3">
        <v>12.767000000000001</v>
      </c>
      <c r="H23" s="1">
        <v>0</v>
      </c>
      <c r="I23" s="6">
        <v>84097</v>
      </c>
      <c r="J23" s="3">
        <v>12.3</v>
      </c>
      <c r="K23" s="3">
        <v>6.5</v>
      </c>
      <c r="L23" s="2">
        <v>39455353</v>
      </c>
      <c r="M23" s="2">
        <v>5669879</v>
      </c>
      <c r="N23" s="3">
        <v>14.4</v>
      </c>
      <c r="O23" s="3">
        <v>7.2</v>
      </c>
      <c r="P23" s="1">
        <v>1</v>
      </c>
      <c r="Q23" t="s">
        <v>26</v>
      </c>
      <c r="R23" s="7">
        <v>413513</v>
      </c>
      <c r="S23" s="6">
        <f>R23*1000000/L23</f>
        <v>10480.52972685354</v>
      </c>
      <c r="T23" s="8">
        <f>LN(S23)</f>
        <v>9.257274503053095</v>
      </c>
      <c r="U23" s="3">
        <f>IF(B23=2020,"",IF(A23=A22,(S23/S22-1)*100,""))</f>
        <v>11.096756622950888</v>
      </c>
    </row>
    <row r="24" spans="1:21">
      <c r="A24" t="s">
        <v>28</v>
      </c>
      <c r="B24" s="1">
        <v>2022</v>
      </c>
      <c r="C24" s="6">
        <v>7547</v>
      </c>
      <c r="D24" s="6">
        <v>22272</v>
      </c>
      <c r="E24" s="6">
        <v>1000</v>
      </c>
      <c r="F24" s="3">
        <v>0.13039000000000001</v>
      </c>
      <c r="G24" s="3">
        <v>13.039000000000001</v>
      </c>
      <c r="H24" s="1">
        <v>0</v>
      </c>
      <c r="I24" s="6">
        <v>91905</v>
      </c>
      <c r="J24" s="3">
        <v>12.1</v>
      </c>
      <c r="K24" s="3">
        <v>6.4</v>
      </c>
      <c r="L24" s="2">
        <v>39356104</v>
      </c>
      <c r="M24" s="2">
        <v>5865300</v>
      </c>
      <c r="N24" s="3">
        <v>14.9</v>
      </c>
      <c r="O24" s="3">
        <v>7.1</v>
      </c>
      <c r="P24" s="1">
        <v>1</v>
      </c>
      <c r="Q24" t="s">
        <v>26</v>
      </c>
      <c r="R24" s="7">
        <v>441377.2</v>
      </c>
      <c r="S24" s="6">
        <f>R24*1000000/L24</f>
        <v>11214.961724869921</v>
      </c>
      <c r="T24" s="8">
        <f>LN(S24)</f>
        <v>9.3250040340969402</v>
      </c>
      <c r="U24" s="3">
        <f>IF(B24=2020,"",IF(A24=A23,(S24/S23-1)*100,""))</f>
        <v>7.0075847038017391</v>
      </c>
    </row>
    <row r="25" spans="1:21">
      <c r="A25" t="s">
        <v>28</v>
      </c>
      <c r="B25" s="1">
        <v>2023</v>
      </c>
      <c r="C25" s="6">
        <v>8070</v>
      </c>
      <c r="D25" s="6">
        <v>23943</v>
      </c>
      <c r="E25" s="6">
        <v>900</v>
      </c>
      <c r="F25" s="3">
        <v>0.13127</v>
      </c>
      <c r="G25" s="3">
        <v>13.126999999999999</v>
      </c>
      <c r="H25" s="1">
        <v>0</v>
      </c>
      <c r="I25" s="6">
        <v>96334</v>
      </c>
      <c r="J25" s="3">
        <v>12</v>
      </c>
      <c r="K25" s="3">
        <v>6.4</v>
      </c>
      <c r="L25" s="2">
        <v>39242785</v>
      </c>
      <c r="M25" s="2">
        <v>5994486</v>
      </c>
      <c r="N25" s="3">
        <v>15.3</v>
      </c>
      <c r="O25" s="3">
        <v>6.9</v>
      </c>
      <c r="P25" s="1">
        <v>1</v>
      </c>
      <c r="Q25" t="s">
        <v>26</v>
      </c>
      <c r="R25" s="7">
        <v>481668.6</v>
      </c>
      <c r="S25" s="6">
        <f>R25*1000000/L25</f>
        <v>12274.06770442006</v>
      </c>
      <c r="T25" s="8">
        <f>LN(S25)</f>
        <v>9.4152439990182391</v>
      </c>
      <c r="U25" s="3">
        <f>IF(B25=2020,"",IF(A25=A24,(S25/S24-1)*100,""))</f>
        <v>9.443687865661655</v>
      </c>
    </row>
    <row r="26" spans="1:21">
      <c r="A26" t="s">
        <v>28</v>
      </c>
      <c r="B26" s="1">
        <v>2024</v>
      </c>
      <c r="C26" s="6">
        <v>8965</v>
      </c>
      <c r="D26" s="6">
        <v>24143</v>
      </c>
      <c r="E26" s="6">
        <v>1100</v>
      </c>
      <c r="F26" s="3">
        <v>0.11802</v>
      </c>
      <c r="G26" s="3">
        <v>11.802</v>
      </c>
      <c r="H26" s="1">
        <v>0</v>
      </c>
      <c r="I26" s="6">
        <v>99122</v>
      </c>
      <c r="J26" s="3">
        <v>12</v>
      </c>
      <c r="K26" s="3">
        <v>6.6</v>
      </c>
      <c r="L26" s="2">
        <v>39287377</v>
      </c>
      <c r="M26" s="2">
        <v>6158371</v>
      </c>
      <c r="N26" s="3">
        <v>15.7</v>
      </c>
      <c r="O26" s="3">
        <v>6.6</v>
      </c>
      <c r="P26" s="1">
        <v>1</v>
      </c>
      <c r="Q26" t="s">
        <v>26</v>
      </c>
      <c r="R26" s="7">
        <v>519091.20000000001</v>
      </c>
      <c r="S26" s="6">
        <f>R26*1000000/L26</f>
        <v>13212.671337157479</v>
      </c>
      <c r="T26" s="8">
        <f>LN(S26)</f>
        <v>9.4889315979019795</v>
      </c>
      <c r="U26" s="3">
        <f>IF(B26=2020,"",IF(A26=A25,(S26/S25-1)*100,""))</f>
        <v>7.6470462387902227</v>
      </c>
    </row>
    <row r="27" spans="1:21">
      <c r="A27" t="s">
        <v>29</v>
      </c>
      <c r="B27" s="1">
        <v>2020</v>
      </c>
      <c r="C27" s="6">
        <v>7206</v>
      </c>
      <c r="D27" s="6">
        <v>21292</v>
      </c>
      <c r="E27" s="6">
        <v>2400</v>
      </c>
      <c r="F27" s="3">
        <v>0.19728000000000001</v>
      </c>
      <c r="G27" s="3">
        <v>19.728000000000002</v>
      </c>
      <c r="H27" s="1">
        <v>0</v>
      </c>
      <c r="I27" s="6">
        <v>75231</v>
      </c>
      <c r="J27" s="3">
        <v>9.8000000000000007</v>
      </c>
      <c r="K27" s="3">
        <v>4.5999999999999996</v>
      </c>
      <c r="L27" s="2">
        <v>5684926</v>
      </c>
      <c r="M27" s="2">
        <v>808337</v>
      </c>
      <c r="N27" s="3">
        <v>14.2</v>
      </c>
      <c r="O27" s="3">
        <v>7.8</v>
      </c>
      <c r="P27" s="1">
        <v>1</v>
      </c>
      <c r="Q27" t="s">
        <v>26</v>
      </c>
      <c r="R27" s="7">
        <v>47309.8</v>
      </c>
      <c r="S27" s="6">
        <f>R27*1000000/L27</f>
        <v>8321.9728805616814</v>
      </c>
      <c r="T27" s="8">
        <f>LN(S27)</f>
        <v>9.0266546307730593</v>
      </c>
      <c r="U27" s="3" t="str">
        <f>IF(B27=2020,"",IF(A27=A26,(S27/S26-1)*100,""))</f>
        <v/>
      </c>
    </row>
    <row r="28" spans="1:21">
      <c r="A28" t="s">
        <v>29</v>
      </c>
      <c r="B28" s="1">
        <v>2021</v>
      </c>
      <c r="C28" s="6">
        <v>6909</v>
      </c>
      <c r="D28" s="6">
        <v>20771</v>
      </c>
      <c r="E28" s="6">
        <v>2200</v>
      </c>
      <c r="F28" s="3">
        <v>0.16707</v>
      </c>
      <c r="G28" s="3">
        <v>16.707000000000001</v>
      </c>
      <c r="H28" s="1">
        <v>0</v>
      </c>
      <c r="I28" s="6">
        <v>80184</v>
      </c>
      <c r="J28" s="3">
        <v>9.6</v>
      </c>
      <c r="K28" s="3">
        <v>4.5999999999999996</v>
      </c>
      <c r="L28" s="2">
        <v>5723176</v>
      </c>
      <c r="M28" s="2">
        <v>819254</v>
      </c>
      <c r="N28" s="3">
        <v>14.3</v>
      </c>
      <c r="O28" s="3">
        <v>7.9</v>
      </c>
      <c r="P28" s="1">
        <v>1</v>
      </c>
      <c r="Q28" t="s">
        <v>26</v>
      </c>
      <c r="R28" s="7">
        <v>52519</v>
      </c>
      <c r="S28" s="6">
        <f>R28*1000000/L28</f>
        <v>9176.5481264249083</v>
      </c>
      <c r="T28" s="8">
        <f>LN(S28)</f>
        <v>9.1244063918142686</v>
      </c>
      <c r="U28" s="3">
        <f>IF(B28=2020,"",IF(A28=A27,(S28/S27-1)*100,""))</f>
        <v>10.268902075604313</v>
      </c>
    </row>
    <row r="29" spans="1:21">
      <c r="A29" t="s">
        <v>29</v>
      </c>
      <c r="B29" s="1">
        <v>2022</v>
      </c>
      <c r="C29" s="6">
        <v>7031</v>
      </c>
      <c r="D29" s="6">
        <v>20466</v>
      </c>
      <c r="E29" s="6">
        <v>2358</v>
      </c>
      <c r="F29" s="3">
        <v>0.17882999999999999</v>
      </c>
      <c r="G29" s="3">
        <v>17.882999999999999</v>
      </c>
      <c r="H29" s="1">
        <v>0</v>
      </c>
      <c r="I29" s="6">
        <v>87598</v>
      </c>
      <c r="J29" s="3">
        <v>9.6</v>
      </c>
      <c r="K29" s="3">
        <v>4.5</v>
      </c>
      <c r="L29" s="2">
        <v>5770790</v>
      </c>
      <c r="M29" s="2">
        <v>855353</v>
      </c>
      <c r="N29" s="3">
        <v>14.8</v>
      </c>
      <c r="O29" s="3">
        <v>7.8</v>
      </c>
      <c r="P29" s="1">
        <v>1</v>
      </c>
      <c r="Q29" t="s">
        <v>26</v>
      </c>
      <c r="R29" s="7">
        <v>56649.5</v>
      </c>
      <c r="S29" s="6">
        <f>R29*1000000/L29</f>
        <v>9816.5935686448483</v>
      </c>
      <c r="T29" s="8">
        <f>LN(S29)</f>
        <v>9.1918294540658874</v>
      </c>
      <c r="U29" s="3">
        <f>IF(B29=2020,"",IF(A29=A28,(S29/S28-1)*100,""))</f>
        <v>6.9747952432882343</v>
      </c>
    </row>
    <row r="30" spans="1:21">
      <c r="A30" t="s">
        <v>29</v>
      </c>
      <c r="B30" s="1">
        <v>2023</v>
      </c>
      <c r="C30" s="6">
        <v>8145</v>
      </c>
      <c r="D30" s="6">
        <v>23980</v>
      </c>
      <c r="E30" s="6">
        <v>3000</v>
      </c>
      <c r="F30" s="3">
        <v>0.19044</v>
      </c>
      <c r="G30" s="3">
        <v>19.044</v>
      </c>
      <c r="H30" s="1">
        <v>0</v>
      </c>
      <c r="I30" s="6">
        <v>92470</v>
      </c>
      <c r="J30" s="3">
        <v>9.4</v>
      </c>
      <c r="K30" s="3">
        <v>4.5</v>
      </c>
      <c r="L30" s="2">
        <v>5810774</v>
      </c>
      <c r="M30" s="2">
        <v>882557</v>
      </c>
      <c r="N30" s="3">
        <v>15.2</v>
      </c>
      <c r="O30" s="3">
        <v>7.7</v>
      </c>
      <c r="P30" s="1">
        <v>1</v>
      </c>
      <c r="Q30" t="s">
        <v>26</v>
      </c>
      <c r="R30" s="7">
        <v>61560.7</v>
      </c>
      <c r="S30" s="6">
        <f>R30*1000000/L30</f>
        <v>10594.234089985259</v>
      </c>
      <c r="T30" s="8">
        <f>LN(S30)</f>
        <v>9.2680651783286567</v>
      </c>
      <c r="U30" s="3">
        <f>IF(B30=2020,"",IF(A30=A29,(S30/S29-1)*100,""))</f>
        <v>7.921694179376737</v>
      </c>
    </row>
    <row r="31" spans="1:21">
      <c r="A31" t="s">
        <v>29</v>
      </c>
      <c r="B31" s="1">
        <v>2024</v>
      </c>
      <c r="C31" s="6">
        <v>8375</v>
      </c>
      <c r="D31" s="6">
        <v>24974</v>
      </c>
      <c r="E31" s="6">
        <v>3000</v>
      </c>
      <c r="F31" s="3">
        <v>0.15215999999999999</v>
      </c>
      <c r="G31" s="3">
        <v>15.215999999999999</v>
      </c>
      <c r="H31" s="1">
        <v>0</v>
      </c>
      <c r="I31" s="6">
        <v>95470</v>
      </c>
      <c r="J31" s="3">
        <v>9.4</v>
      </c>
      <c r="K31" s="3">
        <v>4.5999999999999996</v>
      </c>
      <c r="L31" s="2">
        <v>5862189</v>
      </c>
      <c r="M31" s="2">
        <v>914002</v>
      </c>
      <c r="N31" s="3">
        <v>15.6</v>
      </c>
      <c r="O31" s="3">
        <v>7.7</v>
      </c>
      <c r="P31" s="1">
        <v>1</v>
      </c>
      <c r="Q31" t="s">
        <v>26</v>
      </c>
      <c r="R31" s="7">
        <v>65749.8</v>
      </c>
      <c r="S31" s="6">
        <f>R31*1000000/L31</f>
        <v>11215.912690634847</v>
      </c>
      <c r="T31" s="8">
        <f>LN(S31)</f>
        <v>9.3250888248855528</v>
      </c>
      <c r="U31" s="3">
        <f>IF(B31=2020,"",IF(A31=A30,(S31/S30-1)*100,""))</f>
        <v>5.8680844256335796</v>
      </c>
    </row>
    <row r="32" spans="1:21">
      <c r="A32" t="s">
        <v>30</v>
      </c>
      <c r="B32" s="1">
        <v>2020</v>
      </c>
      <c r="C32" s="6">
        <v>7501</v>
      </c>
      <c r="D32" s="6">
        <v>21952</v>
      </c>
      <c r="E32" s="6">
        <v>2100</v>
      </c>
      <c r="F32" s="3">
        <v>0.16424</v>
      </c>
      <c r="G32" s="3">
        <v>16.423999999999999</v>
      </c>
      <c r="H32" s="1">
        <v>1</v>
      </c>
      <c r="I32" s="6">
        <v>79855</v>
      </c>
      <c r="J32" s="3">
        <v>9.8000000000000007</v>
      </c>
      <c r="K32" s="3">
        <v>6</v>
      </c>
      <c r="L32" s="2">
        <v>3570549</v>
      </c>
      <c r="M32" s="2">
        <v>615466</v>
      </c>
      <c r="N32" s="3">
        <v>17.2</v>
      </c>
      <c r="O32" s="3">
        <v>5.0999999999999996</v>
      </c>
      <c r="P32" s="1">
        <v>1</v>
      </c>
      <c r="Q32" t="s">
        <v>26</v>
      </c>
      <c r="R32" s="7">
        <v>37470.300000000003</v>
      </c>
      <c r="S32" s="6">
        <f>R32*1000000/L32</f>
        <v>10494.268528453187</v>
      </c>
      <c r="T32" s="8">
        <f>LN(S32)</f>
        <v>9.2585845326798175</v>
      </c>
      <c r="U32" s="3" t="str">
        <f>IF(B32=2020,"",IF(A32=A31,(S32/S31-1)*100,""))</f>
        <v/>
      </c>
    </row>
    <row r="33" spans="1:21">
      <c r="A33" t="s">
        <v>30</v>
      </c>
      <c r="B33" s="1">
        <v>2021</v>
      </c>
      <c r="C33" s="6">
        <v>7717</v>
      </c>
      <c r="D33" s="6">
        <v>24018</v>
      </c>
      <c r="E33" s="6">
        <v>2480</v>
      </c>
      <c r="F33" s="3">
        <v>0.16492000000000001</v>
      </c>
      <c r="G33" s="3">
        <v>16.492000000000001</v>
      </c>
      <c r="H33" s="1">
        <v>1</v>
      </c>
      <c r="I33" s="6">
        <v>83572</v>
      </c>
      <c r="J33" s="3">
        <v>10</v>
      </c>
      <c r="K33" s="3">
        <v>6.1</v>
      </c>
      <c r="L33" s="2">
        <v>3605330</v>
      </c>
      <c r="M33" s="2">
        <v>620179</v>
      </c>
      <c r="N33" s="3">
        <v>17.2</v>
      </c>
      <c r="O33" s="3">
        <v>5.2</v>
      </c>
      <c r="P33" s="1">
        <v>1</v>
      </c>
      <c r="Q33" t="s">
        <v>26</v>
      </c>
      <c r="R33" s="7">
        <v>41025.300000000003</v>
      </c>
      <c r="S33" s="6">
        <f>R33*1000000/L33</f>
        <v>11379.069322364388</v>
      </c>
      <c r="T33" s="8">
        <f>LN(S33)</f>
        <v>9.3395309224699563</v>
      </c>
      <c r="U33" s="3">
        <f>IF(B33=2020,"",IF(A33=A32,(S33/S32-1)*100,""))</f>
        <v>8.431276477366989</v>
      </c>
    </row>
    <row r="34" spans="1:21">
      <c r="A34" t="s">
        <v>30</v>
      </c>
      <c r="B34" s="1">
        <v>2022</v>
      </c>
      <c r="C34" s="6">
        <v>8237</v>
      </c>
      <c r="D34" s="6">
        <v>24746</v>
      </c>
      <c r="E34" s="6">
        <v>2500</v>
      </c>
      <c r="F34" s="3">
        <v>0.16752</v>
      </c>
      <c r="G34" s="3">
        <v>16.751999999999999</v>
      </c>
      <c r="H34" s="1">
        <v>1</v>
      </c>
      <c r="I34" s="6">
        <v>90213</v>
      </c>
      <c r="J34" s="3">
        <v>10.1</v>
      </c>
      <c r="K34" s="3">
        <v>5.9</v>
      </c>
      <c r="L34" s="2">
        <v>3611317</v>
      </c>
      <c r="M34" s="2">
        <v>629108</v>
      </c>
      <c r="N34" s="3">
        <v>17.399999999999999</v>
      </c>
      <c r="O34" s="3">
        <v>5.2</v>
      </c>
      <c r="P34" s="1">
        <v>1</v>
      </c>
      <c r="Q34" t="s">
        <v>26</v>
      </c>
      <c r="R34" s="7">
        <v>43361.1</v>
      </c>
      <c r="S34" s="6">
        <f>R34*1000000/L34</f>
        <v>12007.004646781215</v>
      </c>
      <c r="T34" s="8">
        <f>LN(S34)</f>
        <v>9.3932454790366577</v>
      </c>
      <c r="U34" s="3">
        <f>IF(B34=2020,"",IF(A34=A33,(S34/S33-1)*100,""))</f>
        <v>5.5183364001718971</v>
      </c>
    </row>
    <row r="35" spans="1:21">
      <c r="A35" t="s">
        <v>30</v>
      </c>
      <c r="B35" s="1">
        <v>2023</v>
      </c>
      <c r="C35" s="6">
        <v>8750</v>
      </c>
      <c r="D35" s="6">
        <v>25529</v>
      </c>
      <c r="E35" s="6">
        <v>3319</v>
      </c>
      <c r="F35" s="3">
        <v>0.13719000000000001</v>
      </c>
      <c r="G35" s="3">
        <v>13.719000000000001</v>
      </c>
      <c r="H35" s="1">
        <v>1</v>
      </c>
      <c r="I35" s="6">
        <v>93760</v>
      </c>
      <c r="J35" s="3">
        <v>10</v>
      </c>
      <c r="K35" s="3">
        <v>5.6</v>
      </c>
      <c r="L35" s="2">
        <v>3598348</v>
      </c>
      <c r="M35" s="2">
        <v>650772</v>
      </c>
      <c r="N35" s="3">
        <v>18.100000000000001</v>
      </c>
      <c r="O35" s="3">
        <v>5.3</v>
      </c>
      <c r="P35" s="1">
        <v>1</v>
      </c>
      <c r="Q35" t="s">
        <v>26</v>
      </c>
      <c r="R35" s="7">
        <v>47148.2</v>
      </c>
      <c r="S35" s="6">
        <f>R35*1000000/L35</f>
        <v>13102.734921691843</v>
      </c>
      <c r="T35" s="8">
        <f>LN(S35)</f>
        <v>9.4805762600474992</v>
      </c>
      <c r="U35" s="3">
        <f>IF(B35=2020,"",IF(A35=A34,(S35/S34-1)*100,""))</f>
        <v>9.1257587312116648</v>
      </c>
    </row>
    <row r="36" spans="1:21">
      <c r="A36" t="s">
        <v>30</v>
      </c>
      <c r="B36" s="1">
        <v>2024</v>
      </c>
      <c r="C36" s="6">
        <v>8953</v>
      </c>
      <c r="D36" s="6">
        <v>27058</v>
      </c>
      <c r="E36" s="6">
        <v>2850</v>
      </c>
      <c r="F36" s="3">
        <v>0.17476</v>
      </c>
      <c r="G36" s="3">
        <v>17.475999999999999</v>
      </c>
      <c r="H36" s="1">
        <v>1</v>
      </c>
      <c r="I36" s="6">
        <v>95781</v>
      </c>
      <c r="J36" s="3">
        <v>10</v>
      </c>
      <c r="K36" s="3">
        <v>5.6</v>
      </c>
      <c r="L36" s="2">
        <v>3624508</v>
      </c>
      <c r="M36" s="2">
        <v>670557</v>
      </c>
      <c r="N36" s="3">
        <v>18.5</v>
      </c>
      <c r="O36" s="3">
        <v>5.4</v>
      </c>
      <c r="P36" s="1">
        <v>1</v>
      </c>
      <c r="Q36" t="s">
        <v>26</v>
      </c>
      <c r="R36" s="7">
        <v>50157.1</v>
      </c>
      <c r="S36" s="6">
        <f>R36*1000000/L36</f>
        <v>13838.319573304845</v>
      </c>
      <c r="T36" s="8">
        <f>LN(S36)</f>
        <v>9.5351968036860733</v>
      </c>
      <c r="U36" s="3">
        <f>IF(B36=2020,"",IF(A36=A35,(S36/S35-1)*100,""))</f>
        <v>5.6139779672656598</v>
      </c>
    </row>
    <row r="37" spans="1:21">
      <c r="A37" t="s">
        <v>31</v>
      </c>
      <c r="B37" s="1">
        <v>2020</v>
      </c>
      <c r="C37" s="6">
        <v>7280</v>
      </c>
      <c r="D37" s="6">
        <v>21565</v>
      </c>
      <c r="E37" s="6">
        <v>2000</v>
      </c>
      <c r="F37" s="3">
        <v>0.20213</v>
      </c>
      <c r="G37" s="3">
        <v>20.213000000000001</v>
      </c>
      <c r="H37" s="1">
        <v>1</v>
      </c>
      <c r="I37" s="6">
        <v>69110</v>
      </c>
      <c r="J37" s="3">
        <v>11.4</v>
      </c>
      <c r="K37" s="3">
        <v>5.8</v>
      </c>
      <c r="L37" s="2">
        <v>967679</v>
      </c>
      <c r="M37" s="2">
        <v>182024</v>
      </c>
      <c r="N37" s="3">
        <v>18.8</v>
      </c>
      <c r="O37" s="3">
        <v>5.8</v>
      </c>
      <c r="P37" s="1">
        <v>1</v>
      </c>
      <c r="Q37" t="s">
        <v>26</v>
      </c>
      <c r="R37" s="7">
        <v>10207.6</v>
      </c>
      <c r="S37" s="6">
        <f>R37*1000000/L37</f>
        <v>10548.539340008412</v>
      </c>
      <c r="T37" s="8">
        <f>LN(S37)</f>
        <v>9.2637426781349266</v>
      </c>
      <c r="U37" s="3" t="str">
        <f>IF(B37=2020,"",IF(A37=A36,(S37/S36-1)*100,""))</f>
        <v/>
      </c>
    </row>
    <row r="38" spans="1:21">
      <c r="A38" t="s">
        <v>31</v>
      </c>
      <c r="B38" s="1">
        <v>2021</v>
      </c>
      <c r="C38" s="6">
        <v>7906</v>
      </c>
      <c r="D38" s="6">
        <v>22079</v>
      </c>
      <c r="E38" s="6">
        <v>1500</v>
      </c>
      <c r="F38" s="3">
        <v>0.17229</v>
      </c>
      <c r="G38" s="3">
        <v>17.228999999999999</v>
      </c>
      <c r="H38" s="1">
        <v>1</v>
      </c>
      <c r="I38" s="6">
        <v>72724</v>
      </c>
      <c r="J38" s="3">
        <v>11.4</v>
      </c>
      <c r="K38" s="3">
        <v>5.7</v>
      </c>
      <c r="L38" s="2">
        <v>981892</v>
      </c>
      <c r="M38" s="2">
        <v>186375</v>
      </c>
      <c r="N38" s="3">
        <v>19</v>
      </c>
      <c r="O38" s="3">
        <v>5.8</v>
      </c>
      <c r="P38" s="1">
        <v>1</v>
      </c>
      <c r="Q38" t="s">
        <v>26</v>
      </c>
      <c r="R38" s="7">
        <v>11336.7</v>
      </c>
      <c r="S38" s="6">
        <f>R38*1000000/L38</f>
        <v>11545.770817971834</v>
      </c>
      <c r="T38" s="8">
        <f>LN(S38)</f>
        <v>9.3540744859497575</v>
      </c>
      <c r="U38" s="3">
        <f>IF(B38=2020,"",IF(A38=A37,(S38/S37-1)*100,""))</f>
        <v>9.4537399522332866</v>
      </c>
    </row>
    <row r="39" spans="1:21">
      <c r="A39" t="s">
        <v>31</v>
      </c>
      <c r="B39" s="1">
        <v>2022</v>
      </c>
      <c r="C39" s="6">
        <v>8168</v>
      </c>
      <c r="D39" s="6">
        <v>23681</v>
      </c>
      <c r="E39" s="6">
        <v>2120</v>
      </c>
      <c r="F39" s="3">
        <v>0.18251000000000001</v>
      </c>
      <c r="G39" s="3">
        <v>18.251000000000001</v>
      </c>
      <c r="H39" s="1">
        <v>1</v>
      </c>
      <c r="I39" s="6">
        <v>79325</v>
      </c>
      <c r="J39" s="3">
        <v>11.1</v>
      </c>
      <c r="K39" s="3">
        <v>5.4</v>
      </c>
      <c r="L39" s="2">
        <v>993635</v>
      </c>
      <c r="M39" s="2">
        <v>195016</v>
      </c>
      <c r="N39" s="3">
        <v>19.600000000000001</v>
      </c>
      <c r="O39" s="3">
        <v>6</v>
      </c>
      <c r="P39" s="1">
        <v>1</v>
      </c>
      <c r="Q39" t="s">
        <v>26</v>
      </c>
      <c r="R39" s="7">
        <v>12538.7</v>
      </c>
      <c r="S39" s="6">
        <f>R39*1000000/L39</f>
        <v>12619.020062699079</v>
      </c>
      <c r="T39" s="8">
        <f>LN(S39)</f>
        <v>9.4429604835319125</v>
      </c>
      <c r="U39" s="3">
        <f>IF(B39=2020,"",IF(A39=A38,(S39/S38-1)*100,""))</f>
        <v>9.2956049591479406</v>
      </c>
    </row>
    <row r="40" spans="1:21">
      <c r="A40" t="s">
        <v>31</v>
      </c>
      <c r="B40" s="1">
        <v>2023</v>
      </c>
      <c r="C40" s="6">
        <v>7629</v>
      </c>
      <c r="D40" s="6">
        <v>22049</v>
      </c>
      <c r="E40" s="6">
        <v>2219</v>
      </c>
      <c r="F40" s="3">
        <v>0.17402999999999999</v>
      </c>
      <c r="G40" s="3">
        <v>17.402999999999999</v>
      </c>
      <c r="H40" s="1">
        <v>1</v>
      </c>
      <c r="I40" s="6">
        <v>82855</v>
      </c>
      <c r="J40" s="3">
        <v>10.7</v>
      </c>
      <c r="K40" s="3">
        <v>5.0999999999999996</v>
      </c>
      <c r="L40" s="2">
        <v>1005872</v>
      </c>
      <c r="M40" s="2">
        <v>201255</v>
      </c>
      <c r="N40" s="3">
        <v>20</v>
      </c>
      <c r="O40" s="3">
        <v>6.2</v>
      </c>
      <c r="P40" s="1">
        <v>1</v>
      </c>
      <c r="Q40" t="s">
        <v>26</v>
      </c>
      <c r="R40" s="7">
        <v>13655.4</v>
      </c>
      <c r="S40" s="6">
        <f>R40*1000000/L40</f>
        <v>13575.683585983108</v>
      </c>
      <c r="T40" s="8">
        <f>LN(S40)</f>
        <v>9.5160354997761534</v>
      </c>
      <c r="U40" s="3">
        <f>IF(B40=2020,"",IF(A40=A39,(S40/S39-1)*100,""))</f>
        <v>7.5811237206275361</v>
      </c>
    </row>
    <row r="41" spans="1:21">
      <c r="A41" t="s">
        <v>31</v>
      </c>
      <c r="B41" s="1">
        <v>2024</v>
      </c>
      <c r="C41" s="6">
        <v>9140</v>
      </c>
      <c r="D41" s="6">
        <v>27869</v>
      </c>
      <c r="E41" s="6">
        <v>1700</v>
      </c>
      <c r="F41" s="3">
        <v>0.15504000000000001</v>
      </c>
      <c r="G41" s="3">
        <v>15.504000000000001</v>
      </c>
      <c r="H41" s="1">
        <v>1</v>
      </c>
      <c r="I41" s="6">
        <v>84954</v>
      </c>
      <c r="J41" s="3">
        <v>10.4</v>
      </c>
      <c r="K41" s="3">
        <v>5.0999999999999996</v>
      </c>
      <c r="L41" s="2">
        <v>1021191</v>
      </c>
      <c r="M41" s="2">
        <v>210101</v>
      </c>
      <c r="N41" s="3">
        <v>20.6</v>
      </c>
      <c r="O41" s="3">
        <v>6.3</v>
      </c>
      <c r="P41" s="1">
        <v>1</v>
      </c>
      <c r="Q41" t="s">
        <v>26</v>
      </c>
      <c r="R41" s="7">
        <v>14962.5</v>
      </c>
      <c r="S41" s="6">
        <f>R41*1000000/L41</f>
        <v>14652.009271527069</v>
      </c>
      <c r="T41" s="8">
        <f>LN(S41)</f>
        <v>9.5923327566808592</v>
      </c>
      <c r="U41" s="3">
        <f>IF(B41=2020,"",IF(A41=A40,(S41/S40-1)*100,""))</f>
        <v>7.9283350906562688</v>
      </c>
    </row>
    <row r="42" spans="1:21">
      <c r="A42" t="s">
        <v>32</v>
      </c>
      <c r="B42" s="1">
        <v>2020</v>
      </c>
      <c r="C42" s="6">
        <v>7078</v>
      </c>
      <c r="D42" s="6">
        <v>20862</v>
      </c>
      <c r="E42" s="6">
        <v>1020</v>
      </c>
      <c r="F42" s="3">
        <v>0.17852999999999999</v>
      </c>
      <c r="G42" s="3">
        <v>17.852999999999998</v>
      </c>
      <c r="H42" s="1">
        <v>1</v>
      </c>
      <c r="I42" s="6">
        <v>57703</v>
      </c>
      <c r="J42" s="3">
        <v>13.3</v>
      </c>
      <c r="K42" s="3">
        <v>5.4</v>
      </c>
      <c r="L42" s="2">
        <v>21216924</v>
      </c>
      <c r="M42" s="2">
        <v>4347912</v>
      </c>
      <c r="N42" s="3">
        <v>20.5</v>
      </c>
      <c r="O42" s="3">
        <v>12.7</v>
      </c>
      <c r="P42" s="1">
        <v>0</v>
      </c>
      <c r="Q42" t="s">
        <v>22</v>
      </c>
      <c r="R42" s="7">
        <v>180861.9</v>
      </c>
      <c r="S42" s="6">
        <f>R42*1000000/L42</f>
        <v>8524.4166402255105</v>
      </c>
      <c r="T42" s="8">
        <f>LN(S42)</f>
        <v>9.0506898705112651</v>
      </c>
      <c r="U42" s="3" t="str">
        <f>IF(B42=2020,"",IF(A42=A41,(S42/S41-1)*100,""))</f>
        <v/>
      </c>
    </row>
    <row r="43" spans="1:21">
      <c r="A43" t="s">
        <v>32</v>
      </c>
      <c r="B43" s="1">
        <v>2021</v>
      </c>
      <c r="C43" s="6">
        <v>7372</v>
      </c>
      <c r="D43" s="6">
        <v>21184</v>
      </c>
      <c r="E43" s="6">
        <v>1200</v>
      </c>
      <c r="F43" s="3">
        <v>0.18137</v>
      </c>
      <c r="G43" s="3">
        <v>18.137</v>
      </c>
      <c r="H43" s="1">
        <v>1</v>
      </c>
      <c r="I43" s="6">
        <v>61777</v>
      </c>
      <c r="J43" s="3">
        <v>13.1</v>
      </c>
      <c r="K43" s="3">
        <v>5.3</v>
      </c>
      <c r="L43" s="2">
        <v>21339762</v>
      </c>
      <c r="M43" s="2">
        <v>4346965</v>
      </c>
      <c r="N43" s="3">
        <v>20.399999999999999</v>
      </c>
      <c r="O43" s="3">
        <v>12.6</v>
      </c>
      <c r="P43" s="1">
        <v>0</v>
      </c>
      <c r="Q43" t="s">
        <v>22</v>
      </c>
      <c r="R43" s="7">
        <v>206483.4</v>
      </c>
      <c r="S43" s="6">
        <f>R43*1000000/L43</f>
        <v>9675.9935748111911</v>
      </c>
      <c r="T43" s="8">
        <f>LN(S43)</f>
        <v>9.1774032076961287</v>
      </c>
      <c r="U43" s="3">
        <f>IF(B43=2020,"",IF(A43=A42,(S43/S42-1)*100,""))</f>
        <v>13.509158259012732</v>
      </c>
    </row>
    <row r="44" spans="1:21">
      <c r="A44" t="s">
        <v>32</v>
      </c>
      <c r="B44" s="1">
        <v>2022</v>
      </c>
      <c r="C44" s="6">
        <v>7551</v>
      </c>
      <c r="D44" s="6">
        <v>21441</v>
      </c>
      <c r="E44" s="6">
        <v>1320</v>
      </c>
      <c r="F44" s="3">
        <v>0.16364999999999999</v>
      </c>
      <c r="G44" s="3">
        <v>16.364999999999998</v>
      </c>
      <c r="H44" s="1">
        <v>1</v>
      </c>
      <c r="I44" s="6">
        <v>67917</v>
      </c>
      <c r="J44" s="3">
        <v>12.9</v>
      </c>
      <c r="K44" s="3">
        <v>5</v>
      </c>
      <c r="L44" s="2">
        <v>21634529</v>
      </c>
      <c r="M44" s="2">
        <v>4520647</v>
      </c>
      <c r="N44" s="3">
        <v>20.9</v>
      </c>
      <c r="O44" s="3">
        <v>12.3</v>
      </c>
      <c r="P44" s="1">
        <v>0</v>
      </c>
      <c r="Q44" t="s">
        <v>22</v>
      </c>
      <c r="R44" s="7">
        <v>225133.6</v>
      </c>
      <c r="S44" s="6">
        <f>R44*1000000/L44</f>
        <v>10406.216839756484</v>
      </c>
      <c r="T44" s="8">
        <f>LN(S44)</f>
        <v>9.2501586795878303</v>
      </c>
      <c r="U44" s="3">
        <f>IF(B44=2020,"",IF(A44=A43,(S44/S43-1)*100,""))</f>
        <v>7.5467522719964375</v>
      </c>
    </row>
    <row r="45" spans="1:21">
      <c r="A45" t="s">
        <v>32</v>
      </c>
      <c r="B45" s="1">
        <v>2023</v>
      </c>
      <c r="C45" s="6">
        <v>8251</v>
      </c>
      <c r="D45" s="6">
        <v>23597</v>
      </c>
      <c r="E45" s="6">
        <v>1520</v>
      </c>
      <c r="F45" s="3">
        <v>0.18679000000000001</v>
      </c>
      <c r="G45" s="3">
        <v>18.679000000000002</v>
      </c>
      <c r="H45" s="1">
        <v>1</v>
      </c>
      <c r="I45" s="6">
        <v>71711</v>
      </c>
      <c r="J45" s="3">
        <v>12.6</v>
      </c>
      <c r="K45" s="3">
        <v>4.8</v>
      </c>
      <c r="L45" s="2">
        <v>21928881</v>
      </c>
      <c r="M45" s="2">
        <v>4630733</v>
      </c>
      <c r="N45" s="3">
        <v>21.1</v>
      </c>
      <c r="O45" s="3">
        <v>11.9</v>
      </c>
      <c r="P45" s="1">
        <v>0</v>
      </c>
      <c r="Q45" t="s">
        <v>22</v>
      </c>
      <c r="R45" s="7">
        <v>248148.2</v>
      </c>
      <c r="S45" s="6">
        <f>R45*1000000/L45</f>
        <v>11316.044808670356</v>
      </c>
      <c r="T45" s="8">
        <f>LN(S45)</f>
        <v>9.333976892175933</v>
      </c>
      <c r="U45" s="3">
        <f>IF(B45=2020,"",IF(A45=A44,(S45/S44-1)*100,""))</f>
        <v>8.7431194537280312</v>
      </c>
    </row>
    <row r="46" spans="1:21">
      <c r="A46" t="s">
        <v>32</v>
      </c>
      <c r="B46" s="1">
        <v>2024</v>
      </c>
      <c r="C46" s="6">
        <v>9016</v>
      </c>
      <c r="D46" s="6">
        <v>24807</v>
      </c>
      <c r="E46" s="6">
        <v>1350</v>
      </c>
      <c r="F46" s="3">
        <v>0.157</v>
      </c>
      <c r="G46" s="3">
        <v>15.7</v>
      </c>
      <c r="H46" s="1">
        <v>1</v>
      </c>
      <c r="I46" s="6">
        <v>74568</v>
      </c>
      <c r="J46" s="3">
        <v>12.6</v>
      </c>
      <c r="K46" s="3">
        <v>4.8</v>
      </c>
      <c r="L46" s="2">
        <v>22416077</v>
      </c>
      <c r="M46" s="2">
        <v>4781978</v>
      </c>
      <c r="N46" s="3">
        <v>21.3</v>
      </c>
      <c r="O46" s="3">
        <v>11.5</v>
      </c>
      <c r="P46" s="1">
        <v>0</v>
      </c>
      <c r="Q46" t="s">
        <v>22</v>
      </c>
      <c r="R46" s="7">
        <v>270279.90000000002</v>
      </c>
      <c r="S46" s="6">
        <f>R46*1000000/L46</f>
        <v>12057.413079014676</v>
      </c>
      <c r="T46" s="8">
        <f>LN(S46)</f>
        <v>9.3974349430442157</v>
      </c>
      <c r="U46" s="3">
        <f>IF(B46=2020,"",IF(A46=A45,(S46/S45-1)*100,""))</f>
        <v>6.5514787443779143</v>
      </c>
    </row>
    <row r="47" spans="1:21">
      <c r="A47" t="s">
        <v>33</v>
      </c>
      <c r="B47" s="1">
        <v>2020</v>
      </c>
      <c r="C47" s="6">
        <v>6876</v>
      </c>
      <c r="D47" s="6">
        <v>19891</v>
      </c>
      <c r="E47" s="6">
        <v>1290</v>
      </c>
      <c r="F47" s="3">
        <v>0.16435</v>
      </c>
      <c r="G47" s="3">
        <v>16.434999999999999</v>
      </c>
      <c r="H47" s="1">
        <v>1</v>
      </c>
      <c r="I47" s="6">
        <v>61224</v>
      </c>
      <c r="J47" s="3">
        <v>14.3</v>
      </c>
      <c r="K47" s="3">
        <v>5.6</v>
      </c>
      <c r="L47" s="2">
        <v>10516579</v>
      </c>
      <c r="M47" s="2">
        <v>1459361</v>
      </c>
      <c r="N47" s="3">
        <v>13.9</v>
      </c>
      <c r="O47" s="3">
        <v>13</v>
      </c>
      <c r="P47" s="1">
        <v>0</v>
      </c>
      <c r="Q47" t="s">
        <v>22</v>
      </c>
      <c r="R47" s="7">
        <v>83961.5</v>
      </c>
      <c r="S47" s="6">
        <f>R47*1000000/L47</f>
        <v>7983.7274079337012</v>
      </c>
      <c r="T47" s="8">
        <f>LN(S47)</f>
        <v>8.9851606751155657</v>
      </c>
      <c r="U47" s="3" t="str">
        <f>IF(B47=2020,"",IF(A47=A46,(S47/S46-1)*100,""))</f>
        <v/>
      </c>
    </row>
    <row r="48" spans="1:21">
      <c r="A48" t="s">
        <v>33</v>
      </c>
      <c r="B48" s="1">
        <v>2021</v>
      </c>
      <c r="C48" s="6">
        <v>7285</v>
      </c>
      <c r="D48" s="6">
        <v>22282</v>
      </c>
      <c r="E48" s="6">
        <v>1800</v>
      </c>
      <c r="F48" s="3">
        <v>0.16352</v>
      </c>
      <c r="G48" s="3">
        <v>16.352</v>
      </c>
      <c r="H48" s="1">
        <v>1</v>
      </c>
      <c r="I48" s="6">
        <v>65030</v>
      </c>
      <c r="J48" s="3">
        <v>13.9</v>
      </c>
      <c r="K48" s="3">
        <v>5.5</v>
      </c>
      <c r="L48" s="2">
        <v>10625615</v>
      </c>
      <c r="M48" s="2">
        <v>1479832</v>
      </c>
      <c r="N48" s="3">
        <v>13.9</v>
      </c>
      <c r="O48" s="3">
        <v>13.1</v>
      </c>
      <c r="P48" s="1">
        <v>0</v>
      </c>
      <c r="Q48" t="s">
        <v>22</v>
      </c>
      <c r="R48" s="7">
        <v>94611.7</v>
      </c>
      <c r="S48" s="6">
        <f>R48*1000000/L48</f>
        <v>8904.1151970968276</v>
      </c>
      <c r="T48" s="8">
        <f>LN(S48)</f>
        <v>9.0942688305510284</v>
      </c>
      <c r="U48" s="3">
        <f>IF(B48=2020,"",IF(A48=A47,(S48/S47-1)*100,""))</f>
        <v>11.528296773365598</v>
      </c>
    </row>
    <row r="49" spans="1:21">
      <c r="A49" t="s">
        <v>33</v>
      </c>
      <c r="B49" s="1">
        <v>2022</v>
      </c>
      <c r="C49" s="6">
        <v>7367</v>
      </c>
      <c r="D49" s="6">
        <v>22220</v>
      </c>
      <c r="E49" s="6">
        <v>1720</v>
      </c>
      <c r="F49" s="3">
        <v>0.17149</v>
      </c>
      <c r="G49" s="3">
        <v>17.149000000000001</v>
      </c>
      <c r="H49" s="1">
        <v>1</v>
      </c>
      <c r="I49" s="6">
        <v>71355</v>
      </c>
      <c r="J49" s="3">
        <v>13.5</v>
      </c>
      <c r="K49" s="3">
        <v>5.2</v>
      </c>
      <c r="L49" s="2">
        <v>10722325</v>
      </c>
      <c r="M49" s="2">
        <v>1540445</v>
      </c>
      <c r="N49" s="3">
        <v>14.4</v>
      </c>
      <c r="O49" s="3">
        <v>12.9</v>
      </c>
      <c r="P49" s="1">
        <v>0</v>
      </c>
      <c r="Q49" t="s">
        <v>22</v>
      </c>
      <c r="R49" s="7">
        <v>102061.7</v>
      </c>
      <c r="S49" s="6">
        <f>R49*1000000/L49</f>
        <v>9518.6165313959427</v>
      </c>
      <c r="T49" s="8">
        <f>LN(S49)</f>
        <v>9.1610047948927384</v>
      </c>
      <c r="U49" s="3">
        <f>IF(B49=2020,"",IF(A49=A48,(S49/S48-1)*100,""))</f>
        <v>6.9013183308710202</v>
      </c>
    </row>
    <row r="50" spans="1:21">
      <c r="A50" t="s">
        <v>33</v>
      </c>
      <c r="B50" s="1">
        <v>2023</v>
      </c>
      <c r="C50" s="6">
        <v>7955</v>
      </c>
      <c r="D50" s="6">
        <v>24360</v>
      </c>
      <c r="E50" s="6">
        <v>1500</v>
      </c>
      <c r="F50" s="3">
        <v>0.16100999999999999</v>
      </c>
      <c r="G50" s="3">
        <v>16.100999999999999</v>
      </c>
      <c r="H50" s="1">
        <v>1</v>
      </c>
      <c r="I50" s="6">
        <v>74664</v>
      </c>
      <c r="J50" s="3">
        <v>13.5</v>
      </c>
      <c r="K50" s="3">
        <v>5.0999999999999996</v>
      </c>
      <c r="L50" s="2">
        <v>10822590</v>
      </c>
      <c r="M50" s="2">
        <v>1581263</v>
      </c>
      <c r="N50" s="3">
        <v>14.6</v>
      </c>
      <c r="O50" s="3">
        <v>12.6</v>
      </c>
      <c r="P50" s="1">
        <v>0</v>
      </c>
      <c r="Q50" t="s">
        <v>22</v>
      </c>
      <c r="R50" s="7">
        <v>111901.7</v>
      </c>
      <c r="S50" s="6">
        <f>R50*1000000/L50</f>
        <v>10339.641435183261</v>
      </c>
      <c r="T50" s="8">
        <f>LN(S50)</f>
        <v>9.2437404700127157</v>
      </c>
      <c r="U50" s="3">
        <f>IF(B50=2020,"",IF(A50=A49,(S50/S49-1)*100,""))</f>
        <v>8.6254646468767007</v>
      </c>
    </row>
    <row r="51" spans="1:21">
      <c r="A51" t="s">
        <v>33</v>
      </c>
      <c r="B51" s="1">
        <v>2024</v>
      </c>
      <c r="C51" s="6">
        <v>7819</v>
      </c>
      <c r="D51" s="6">
        <v>23363</v>
      </c>
      <c r="E51" s="6">
        <v>1980</v>
      </c>
      <c r="F51" s="3">
        <v>0.16320999999999999</v>
      </c>
      <c r="G51" s="3">
        <v>16.320999999999998</v>
      </c>
      <c r="H51" s="1">
        <v>1</v>
      </c>
      <c r="I51" s="6">
        <v>77353</v>
      </c>
      <c r="J51" s="3">
        <v>13.4</v>
      </c>
      <c r="K51" s="3">
        <v>5.0999999999999996</v>
      </c>
      <c r="L51" s="2">
        <v>10940407</v>
      </c>
      <c r="M51" s="2">
        <v>1636809</v>
      </c>
      <c r="N51" s="3">
        <v>15</v>
      </c>
      <c r="O51" s="3">
        <v>12.4</v>
      </c>
      <c r="P51" s="1">
        <v>0</v>
      </c>
      <c r="Q51" t="s">
        <v>22</v>
      </c>
      <c r="R51" s="7">
        <v>122293.9</v>
      </c>
      <c r="S51" s="6">
        <f>R51*1000000/L51</f>
        <v>11178.185601321778</v>
      </c>
      <c r="T51" s="8">
        <f>LN(S51)</f>
        <v>9.3217194438537021</v>
      </c>
      <c r="U51" s="3">
        <f>IF(B51=2020,"",IF(A51=A50,(S51/S50-1)*100,""))</f>
        <v>8.1099927052127541</v>
      </c>
    </row>
    <row r="52" spans="1:21">
      <c r="A52" t="s">
        <v>34</v>
      </c>
      <c r="B52" s="1">
        <v>2020</v>
      </c>
      <c r="C52" s="6">
        <v>7040</v>
      </c>
      <c r="D52" s="6">
        <v>19567</v>
      </c>
      <c r="E52" s="6">
        <v>1000</v>
      </c>
      <c r="F52" s="3">
        <v>0.13955999999999999</v>
      </c>
      <c r="G52" s="3">
        <v>13.956</v>
      </c>
      <c r="H52" s="1">
        <v>1</v>
      </c>
      <c r="I52" s="6">
        <v>83173</v>
      </c>
      <c r="J52" s="3">
        <v>9.3000000000000007</v>
      </c>
      <c r="K52" s="3">
        <v>4.5999999999999996</v>
      </c>
      <c r="L52" s="2">
        <v>1420074</v>
      </c>
      <c r="M52" s="2">
        <v>261207</v>
      </c>
      <c r="N52" s="3">
        <v>18.399999999999999</v>
      </c>
      <c r="O52" s="3">
        <v>3.9</v>
      </c>
      <c r="P52" s="1">
        <v>1</v>
      </c>
      <c r="Q52" t="s">
        <v>26</v>
      </c>
      <c r="R52" s="7">
        <v>12845.1</v>
      </c>
      <c r="S52" s="6">
        <f>R52*1000000/L52</f>
        <v>9045.3736917935257</v>
      </c>
      <c r="T52" s="8">
        <f>LN(S52)</f>
        <v>9.1100087117126733</v>
      </c>
      <c r="U52" s="3" t="str">
        <f>IF(B52=2020,"",IF(A52=A51,(S52/S51-1)*100,""))</f>
        <v/>
      </c>
    </row>
    <row r="53" spans="1:21">
      <c r="A53" t="s">
        <v>34</v>
      </c>
      <c r="B53" s="1">
        <v>2021</v>
      </c>
      <c r="C53" s="6">
        <v>6573</v>
      </c>
      <c r="D53" s="6">
        <v>18539</v>
      </c>
      <c r="E53" s="6">
        <v>1000</v>
      </c>
      <c r="F53" s="3">
        <v>0.13236999999999999</v>
      </c>
      <c r="G53" s="3">
        <v>13.236999999999998</v>
      </c>
      <c r="H53" s="1">
        <v>1</v>
      </c>
      <c r="I53" s="6">
        <v>88005</v>
      </c>
      <c r="J53" s="3">
        <v>9.5</v>
      </c>
      <c r="K53" s="3">
        <v>5.2</v>
      </c>
      <c r="L53" s="2">
        <v>1453498</v>
      </c>
      <c r="M53" s="2">
        <v>268789</v>
      </c>
      <c r="N53" s="3">
        <v>18.5</v>
      </c>
      <c r="O53" s="3">
        <v>4</v>
      </c>
      <c r="P53" s="1">
        <v>1</v>
      </c>
      <c r="Q53" t="s">
        <v>26</v>
      </c>
      <c r="R53" s="7">
        <v>13853.7</v>
      </c>
      <c r="S53" s="6">
        <f>R53*1000000/L53</f>
        <v>9531.2824647849538</v>
      </c>
      <c r="T53" s="8">
        <f>LN(S53)</f>
        <v>9.1623345589253926</v>
      </c>
      <c r="U53" s="3">
        <f>IF(B53=2020,"",IF(A53=A52,(S53/S52-1)*100,""))</f>
        <v>5.371903799090938</v>
      </c>
    </row>
    <row r="54" spans="1:21">
      <c r="A54" t="s">
        <v>34</v>
      </c>
      <c r="B54" s="1">
        <v>2022</v>
      </c>
      <c r="C54" s="6">
        <v>7367</v>
      </c>
      <c r="D54" s="6">
        <v>20804</v>
      </c>
      <c r="E54" s="6">
        <v>1180</v>
      </c>
      <c r="F54" s="3">
        <v>0.10809000000000001</v>
      </c>
      <c r="G54" s="3">
        <v>10.809000000000001</v>
      </c>
      <c r="H54" s="1">
        <v>1</v>
      </c>
      <c r="I54" s="6">
        <v>94814</v>
      </c>
      <c r="J54" s="3">
        <v>9.6</v>
      </c>
      <c r="K54" s="3">
        <v>5.0999999999999996</v>
      </c>
      <c r="L54" s="2">
        <v>1450589</v>
      </c>
      <c r="M54" s="2">
        <v>279708</v>
      </c>
      <c r="N54" s="3">
        <v>19.3</v>
      </c>
      <c r="O54" s="3">
        <v>3.9</v>
      </c>
      <c r="P54" s="1">
        <v>1</v>
      </c>
      <c r="Q54" t="s">
        <v>26</v>
      </c>
      <c r="R54" s="7">
        <v>14693.4</v>
      </c>
      <c r="S54" s="6">
        <f>R54*1000000/L54</f>
        <v>10129.264733153223</v>
      </c>
      <c r="T54" s="8">
        <f>LN(S54)</f>
        <v>9.2231840115041273</v>
      </c>
      <c r="U54" s="3">
        <f>IF(B54=2020,"",IF(A54=A53,(S54/S53-1)*100,""))</f>
        <v>6.2738909541042664</v>
      </c>
    </row>
    <row r="55" spans="1:21">
      <c r="A55" t="s">
        <v>34</v>
      </c>
      <c r="B55" s="1">
        <v>2023</v>
      </c>
      <c r="C55" s="6">
        <v>7730</v>
      </c>
      <c r="D55" s="6">
        <v>20730</v>
      </c>
      <c r="E55" s="6">
        <v>800</v>
      </c>
      <c r="F55" s="3">
        <v>0.1275</v>
      </c>
      <c r="G55" s="3">
        <v>12.75</v>
      </c>
      <c r="H55" s="1">
        <v>1</v>
      </c>
      <c r="I55" s="6">
        <v>98317</v>
      </c>
      <c r="J55" s="3">
        <v>10</v>
      </c>
      <c r="K55" s="3">
        <v>5</v>
      </c>
      <c r="L55" s="2">
        <v>1445635</v>
      </c>
      <c r="M55" s="2">
        <v>287642</v>
      </c>
      <c r="N55" s="3">
        <v>19.899999999999999</v>
      </c>
      <c r="O55" s="3">
        <v>3.7</v>
      </c>
      <c r="P55" s="1">
        <v>1</v>
      </c>
      <c r="Q55" t="s">
        <v>26</v>
      </c>
      <c r="R55" s="7">
        <v>15953.5</v>
      </c>
      <c r="S55" s="6">
        <f>R55*1000000/L55</f>
        <v>11035.634859421638</v>
      </c>
      <c r="T55" s="8">
        <f>LN(S55)</f>
        <v>9.3088848484742677</v>
      </c>
      <c r="U55" s="3">
        <f>IF(B55=2020,"",IF(A55=A54,(S55/S54-1)*100,""))</f>
        <v>8.948034730515575</v>
      </c>
    </row>
    <row r="56" spans="1:21">
      <c r="A56" t="s">
        <v>34</v>
      </c>
      <c r="B56" s="1">
        <v>2024</v>
      </c>
      <c r="C56" s="6">
        <v>7504</v>
      </c>
      <c r="D56" s="6">
        <v>22709</v>
      </c>
      <c r="E56" s="6">
        <v>1245</v>
      </c>
      <c r="F56" s="3">
        <v>0.12545000000000001</v>
      </c>
      <c r="G56" s="3">
        <v>12.545</v>
      </c>
      <c r="H56" s="1">
        <v>1</v>
      </c>
      <c r="I56" s="6">
        <v>100389</v>
      </c>
      <c r="J56" s="3">
        <v>10</v>
      </c>
      <c r="K56" s="3">
        <v>4.9000000000000004</v>
      </c>
      <c r="L56" s="2">
        <v>1445235</v>
      </c>
      <c r="M56" s="2">
        <v>295552</v>
      </c>
      <c r="N56" s="3">
        <v>20.5</v>
      </c>
      <c r="O56" s="3">
        <v>3.6</v>
      </c>
      <c r="P56" s="1">
        <v>1</v>
      </c>
      <c r="Q56" t="s">
        <v>26</v>
      </c>
      <c r="R56" s="7">
        <v>17212.2</v>
      </c>
      <c r="S56" s="6">
        <f>R56*1000000/L56</f>
        <v>11909.620234771508</v>
      </c>
      <c r="T56" s="8">
        <f>LN(S56)</f>
        <v>9.3851017755917248</v>
      </c>
      <c r="U56" s="3">
        <f>IF(B56=2020,"",IF(A56=A55,(S56/S55-1)*100,""))</f>
        <v>7.9196655786749615</v>
      </c>
    </row>
    <row r="57" spans="1:21">
      <c r="A57" t="s">
        <v>35</v>
      </c>
      <c r="B57" s="1">
        <v>2020</v>
      </c>
      <c r="C57" s="6">
        <v>6744</v>
      </c>
      <c r="D57" s="6">
        <v>21132</v>
      </c>
      <c r="E57" s="6">
        <v>2428</v>
      </c>
      <c r="F57" s="3">
        <v>0.20735999999999999</v>
      </c>
      <c r="G57" s="3">
        <v>20.735999999999997</v>
      </c>
      <c r="H57" s="1">
        <v>0</v>
      </c>
      <c r="I57" s="6">
        <v>58915</v>
      </c>
      <c r="J57" s="3">
        <v>11.9</v>
      </c>
      <c r="K57" s="3">
        <v>4.2</v>
      </c>
      <c r="L57" s="2">
        <v>1754367</v>
      </c>
      <c r="M57" s="2">
        <v>277744</v>
      </c>
      <c r="N57" s="3">
        <v>15.8</v>
      </c>
      <c r="O57" s="3">
        <v>10.4</v>
      </c>
      <c r="P57" s="1">
        <v>1</v>
      </c>
      <c r="Q57" t="s">
        <v>36</v>
      </c>
      <c r="R57" s="7">
        <v>12680</v>
      </c>
      <c r="S57" s="6">
        <f>R57*1000000/L57</f>
        <v>7227.6781312005987</v>
      </c>
      <c r="T57" s="8">
        <f>LN(S57)</f>
        <v>8.8856731198961043</v>
      </c>
      <c r="U57" s="3" t="str">
        <f>IF(B57=2020,"",IF(A57=A56,(S57/S56-1)*100,""))</f>
        <v/>
      </c>
    </row>
    <row r="58" spans="1:21">
      <c r="A58" t="s">
        <v>35</v>
      </c>
      <c r="B58" s="1">
        <v>2021</v>
      </c>
      <c r="C58" s="6">
        <v>6734</v>
      </c>
      <c r="D58" s="6">
        <v>19788</v>
      </c>
      <c r="E58" s="6">
        <v>2360</v>
      </c>
      <c r="F58" s="3">
        <v>0.19503999999999999</v>
      </c>
      <c r="G58" s="3">
        <v>19.503999999999998</v>
      </c>
      <c r="H58" s="1">
        <v>0</v>
      </c>
      <c r="I58" s="6">
        <v>63377</v>
      </c>
      <c r="J58" s="3">
        <v>11.4</v>
      </c>
      <c r="K58" s="3">
        <v>4</v>
      </c>
      <c r="L58" s="2">
        <v>1811617</v>
      </c>
      <c r="M58" s="2">
        <v>287098</v>
      </c>
      <c r="N58" s="3">
        <v>15.8</v>
      </c>
      <c r="O58" s="3">
        <v>10.199999999999999</v>
      </c>
      <c r="P58" s="1">
        <v>1</v>
      </c>
      <c r="Q58" t="s">
        <v>36</v>
      </c>
      <c r="R58" s="7">
        <v>14577.3</v>
      </c>
      <c r="S58" s="6">
        <f>R58*1000000/L58</f>
        <v>8046.5683419839843</v>
      </c>
      <c r="T58" s="8">
        <f>LN(S58)</f>
        <v>8.9930009866027056</v>
      </c>
      <c r="U58" s="3">
        <f>IF(B58=2020,"",IF(A58=A57,(S58/S57-1)*100,""))</f>
        <v>11.329920839285613</v>
      </c>
    </row>
    <row r="59" spans="1:21">
      <c r="A59" t="s">
        <v>35</v>
      </c>
      <c r="B59" s="1">
        <v>2022</v>
      </c>
      <c r="C59" s="6">
        <v>7292</v>
      </c>
      <c r="D59" s="6">
        <v>21153</v>
      </c>
      <c r="E59" s="6">
        <v>2400</v>
      </c>
      <c r="F59" s="3">
        <v>0.18034</v>
      </c>
      <c r="G59" s="3">
        <v>18.033999999999999</v>
      </c>
      <c r="H59" s="1">
        <v>0</v>
      </c>
      <c r="I59" s="6">
        <v>70214</v>
      </c>
      <c r="J59" s="3">
        <v>11</v>
      </c>
      <c r="K59" s="3">
        <v>3.8</v>
      </c>
      <c r="L59" s="2">
        <v>1854109</v>
      </c>
      <c r="M59" s="2">
        <v>302543</v>
      </c>
      <c r="N59" s="3">
        <v>16.3</v>
      </c>
      <c r="O59" s="3">
        <v>9.6999999999999993</v>
      </c>
      <c r="P59" s="1">
        <v>1</v>
      </c>
      <c r="Q59" t="s">
        <v>36</v>
      </c>
      <c r="R59" s="7">
        <v>16118.3</v>
      </c>
      <c r="S59" s="6">
        <f>R59*1000000/L59</f>
        <v>8693.2861013025667</v>
      </c>
      <c r="T59" s="8">
        <f>LN(S59)</f>
        <v>9.0703062942253467</v>
      </c>
      <c r="U59" s="3">
        <f>IF(B59=2020,"",IF(A59=A58,(S59/S58-1)*100,""))</f>
        <v>8.0371871813261109</v>
      </c>
    </row>
    <row r="60" spans="1:21">
      <c r="A60" t="s">
        <v>35</v>
      </c>
      <c r="B60" s="1">
        <v>2023</v>
      </c>
      <c r="C60" s="6">
        <v>7400</v>
      </c>
      <c r="D60" s="6">
        <v>22367</v>
      </c>
      <c r="E60" s="6">
        <v>2625</v>
      </c>
      <c r="F60" s="3">
        <v>0.20713999999999999</v>
      </c>
      <c r="G60" s="3">
        <v>20.713999999999999</v>
      </c>
      <c r="H60" s="1">
        <v>0</v>
      </c>
      <c r="I60" s="6">
        <v>74636</v>
      </c>
      <c r="J60" s="3">
        <v>10.6</v>
      </c>
      <c r="K60" s="3">
        <v>3.7</v>
      </c>
      <c r="L60" s="2">
        <v>1893296</v>
      </c>
      <c r="M60" s="2">
        <v>314391</v>
      </c>
      <c r="N60" s="3">
        <v>16.600000000000001</v>
      </c>
      <c r="O60" s="3">
        <v>9.3000000000000007</v>
      </c>
      <c r="P60" s="1">
        <v>1</v>
      </c>
      <c r="Q60" t="s">
        <v>36</v>
      </c>
      <c r="R60" s="7">
        <v>17619.599999999999</v>
      </c>
      <c r="S60" s="6">
        <f>R60*1000000/L60</f>
        <v>9306.3102652728357</v>
      </c>
      <c r="T60" s="8">
        <f>LN(S60)</f>
        <v>9.1384479721962091</v>
      </c>
      <c r="U60" s="3">
        <f>IF(B60=2020,"",IF(A60=A59,(S60/S59-1)*100,""))</f>
        <v>7.0516966406801718</v>
      </c>
    </row>
    <row r="61" spans="1:21">
      <c r="A61" t="s">
        <v>35</v>
      </c>
      <c r="B61" s="1">
        <v>2024</v>
      </c>
      <c r="C61" s="6">
        <v>7524</v>
      </c>
      <c r="D61" s="6">
        <v>24531</v>
      </c>
      <c r="E61" s="6">
        <v>3000</v>
      </c>
      <c r="F61" s="3">
        <v>0.20538999999999999</v>
      </c>
      <c r="G61" s="3">
        <v>20.538999999999998</v>
      </c>
      <c r="H61" s="1">
        <v>0</v>
      </c>
      <c r="I61" s="6">
        <v>77800</v>
      </c>
      <c r="J61" s="3">
        <v>10.6</v>
      </c>
      <c r="K61" s="3">
        <v>3.7</v>
      </c>
      <c r="L61" s="2">
        <v>1934262</v>
      </c>
      <c r="M61" s="2">
        <v>328636</v>
      </c>
      <c r="N61" s="3">
        <v>17</v>
      </c>
      <c r="O61" s="3">
        <v>9.1</v>
      </c>
      <c r="P61" s="1">
        <v>1</v>
      </c>
      <c r="Q61" t="s">
        <v>36</v>
      </c>
      <c r="R61" s="7">
        <v>19173.099999999999</v>
      </c>
      <c r="S61" s="6">
        <f>R61*1000000/L61</f>
        <v>9912.3593391174509</v>
      </c>
      <c r="T61" s="8">
        <f>LN(S61)</f>
        <v>9.2015376755894529</v>
      </c>
      <c r="U61" s="3">
        <f>IF(B61=2020,"",IF(A61=A60,(S61/S60-1)*100,""))</f>
        <v>6.5122380037782701</v>
      </c>
    </row>
    <row r="62" spans="1:21">
      <c r="A62" t="s">
        <v>37</v>
      </c>
      <c r="B62" s="1">
        <v>2020</v>
      </c>
      <c r="C62" s="6">
        <v>7376</v>
      </c>
      <c r="D62" s="6">
        <v>21775</v>
      </c>
      <c r="E62" s="6">
        <v>2640</v>
      </c>
      <c r="F62" s="3">
        <v>0.19284999999999999</v>
      </c>
      <c r="G62" s="3">
        <v>19.285</v>
      </c>
      <c r="H62" s="1">
        <v>1</v>
      </c>
      <c r="I62" s="6">
        <v>68428</v>
      </c>
      <c r="J62" s="3">
        <v>12</v>
      </c>
      <c r="K62" s="3">
        <v>6</v>
      </c>
      <c r="L62" s="2">
        <v>12716164</v>
      </c>
      <c r="M62" s="2">
        <v>1990426</v>
      </c>
      <c r="N62" s="3">
        <v>15.7</v>
      </c>
      <c r="O62" s="3">
        <v>6.8</v>
      </c>
      <c r="P62" s="1">
        <v>1</v>
      </c>
      <c r="Q62" t="s">
        <v>26</v>
      </c>
      <c r="R62" s="7">
        <v>113206.6</v>
      </c>
      <c r="S62" s="6">
        <f>R62*1000000/L62</f>
        <v>8902.5747072780759</v>
      </c>
      <c r="T62" s="8">
        <f>LN(S62)</f>
        <v>9.0940958068356856</v>
      </c>
      <c r="U62" s="3" t="str">
        <f>IF(B62=2020,"",IF(A62=A61,(S62/S61-1)*100,""))</f>
        <v/>
      </c>
    </row>
    <row r="63" spans="1:21">
      <c r="A63" t="s">
        <v>37</v>
      </c>
      <c r="B63" s="1">
        <v>2021</v>
      </c>
      <c r="C63" s="6">
        <v>7395</v>
      </c>
      <c r="D63" s="6">
        <v>20878</v>
      </c>
      <c r="E63" s="6">
        <v>2200</v>
      </c>
      <c r="F63" s="3">
        <v>0.18</v>
      </c>
      <c r="G63" s="3">
        <v>18</v>
      </c>
      <c r="H63" s="1">
        <v>1</v>
      </c>
      <c r="I63" s="6">
        <v>72563</v>
      </c>
      <c r="J63" s="3">
        <v>11.8</v>
      </c>
      <c r="K63" s="3">
        <v>6.2</v>
      </c>
      <c r="L63" s="2">
        <v>12821813</v>
      </c>
      <c r="M63" s="2">
        <v>2012735</v>
      </c>
      <c r="N63" s="3">
        <v>15.7</v>
      </c>
      <c r="O63" s="3">
        <v>7</v>
      </c>
      <c r="P63" s="1">
        <v>1</v>
      </c>
      <c r="Q63" t="s">
        <v>26</v>
      </c>
      <c r="R63" s="7">
        <v>123516.9</v>
      </c>
      <c r="S63" s="6">
        <f>R63*1000000/L63</f>
        <v>9633.3412443310481</v>
      </c>
      <c r="T63" s="8">
        <f>LN(S63)</f>
        <v>9.172985406642912</v>
      </c>
      <c r="U63" s="3">
        <f>IF(B63=2020,"",IF(A63=A62,(S63/S62-1)*100,""))</f>
        <v>8.208485309935698</v>
      </c>
    </row>
    <row r="64" spans="1:21">
      <c r="A64" t="s">
        <v>37</v>
      </c>
      <c r="B64" s="1">
        <v>2022</v>
      </c>
      <c r="C64" s="6">
        <v>7547</v>
      </c>
      <c r="D64" s="6">
        <v>20943</v>
      </c>
      <c r="E64" s="6">
        <v>2160</v>
      </c>
      <c r="F64" s="3">
        <v>0.15769</v>
      </c>
      <c r="G64" s="3">
        <v>15.769</v>
      </c>
      <c r="H64" s="1">
        <v>1</v>
      </c>
      <c r="I64" s="6">
        <v>78433</v>
      </c>
      <c r="J64" s="3">
        <v>11.8</v>
      </c>
      <c r="K64" s="3">
        <v>6</v>
      </c>
      <c r="L64" s="2">
        <v>12757634</v>
      </c>
      <c r="M64" s="2">
        <v>2070907</v>
      </c>
      <c r="N64" s="3">
        <v>16.2</v>
      </c>
      <c r="O64" s="3">
        <v>7</v>
      </c>
      <c r="P64" s="1">
        <v>1</v>
      </c>
      <c r="Q64" t="s">
        <v>26</v>
      </c>
      <c r="R64" s="7">
        <v>131431.4</v>
      </c>
      <c r="S64" s="6">
        <f>R64*1000000/L64</f>
        <v>10302.176720228845</v>
      </c>
      <c r="T64" s="8">
        <f>LN(S64)</f>
        <v>9.2401104839513053</v>
      </c>
      <c r="U64" s="3">
        <f>IF(B64=2020,"",IF(A64=A63,(S64/S63-1)*100,""))</f>
        <v>6.942923113944377</v>
      </c>
    </row>
    <row r="65" spans="1:21">
      <c r="A65" t="s">
        <v>37</v>
      </c>
      <c r="B65" s="1">
        <v>2023</v>
      </c>
      <c r="C65" s="6">
        <v>8070</v>
      </c>
      <c r="D65" s="6">
        <v>24290</v>
      </c>
      <c r="E65" s="6">
        <v>2100</v>
      </c>
      <c r="F65" s="3">
        <v>0.15368999999999999</v>
      </c>
      <c r="G65" s="3">
        <v>15.369</v>
      </c>
      <c r="H65" s="1">
        <v>1</v>
      </c>
      <c r="I65" s="6">
        <v>81702</v>
      </c>
      <c r="J65" s="3">
        <v>11.7</v>
      </c>
      <c r="K65" s="3">
        <v>5.8</v>
      </c>
      <c r="L65" s="2">
        <v>12692653</v>
      </c>
      <c r="M65" s="2">
        <v>2101833</v>
      </c>
      <c r="N65" s="3">
        <v>16.600000000000001</v>
      </c>
      <c r="O65" s="3">
        <v>7</v>
      </c>
      <c r="P65" s="1">
        <v>1</v>
      </c>
      <c r="Q65" t="s">
        <v>26</v>
      </c>
      <c r="R65" s="7">
        <v>143165.5</v>
      </c>
      <c r="S65" s="6">
        <f>R65*1000000/L65</f>
        <v>11279.399192588027</v>
      </c>
      <c r="T65" s="8">
        <f>LN(S65)</f>
        <v>9.3307332605650846</v>
      </c>
      <c r="U65" s="3">
        <f>IF(B65=2020,"",IF(A65=A64,(S65/S64-1)*100,""))</f>
        <v>9.4855922092692992</v>
      </c>
    </row>
    <row r="66" spans="1:21">
      <c r="A66" t="s">
        <v>37</v>
      </c>
      <c r="B66" s="1">
        <v>2024</v>
      </c>
      <c r="C66" s="6">
        <v>8783</v>
      </c>
      <c r="D66" s="6">
        <v>24993</v>
      </c>
      <c r="E66" s="6">
        <v>2000</v>
      </c>
      <c r="F66" s="3">
        <v>0.14946999999999999</v>
      </c>
      <c r="G66" s="3">
        <v>14.946999999999999</v>
      </c>
      <c r="H66" s="1">
        <v>1</v>
      </c>
      <c r="I66" s="6">
        <v>83390</v>
      </c>
      <c r="J66" s="3">
        <v>11.8</v>
      </c>
      <c r="K66" s="3">
        <v>5.8</v>
      </c>
      <c r="L66" s="2">
        <v>12694798</v>
      </c>
      <c r="M66" s="2">
        <v>2156214</v>
      </c>
      <c r="N66" s="3">
        <v>17</v>
      </c>
      <c r="O66" s="3">
        <v>6.9</v>
      </c>
      <c r="P66" s="1">
        <v>1</v>
      </c>
      <c r="Q66" t="s">
        <v>26</v>
      </c>
      <c r="R66" s="7">
        <v>154632.9</v>
      </c>
      <c r="S66" s="6">
        <f>R66*1000000/L66</f>
        <v>12180.808233419704</v>
      </c>
      <c r="T66" s="8">
        <f>LN(S66)</f>
        <v>9.407616896485953</v>
      </c>
      <c r="U66" s="3">
        <f>IF(B66=2020,"",IF(A66=A65,(S66/S65-1)*100,""))</f>
        <v>7.991640560288138</v>
      </c>
    </row>
    <row r="67" spans="1:21">
      <c r="A67" t="s">
        <v>38</v>
      </c>
      <c r="B67" s="1">
        <v>2020</v>
      </c>
      <c r="C67" s="6">
        <v>7319</v>
      </c>
      <c r="D67" s="6">
        <v>20125</v>
      </c>
      <c r="E67" s="6">
        <v>2600</v>
      </c>
      <c r="F67" s="3">
        <v>0.18875</v>
      </c>
      <c r="G67" s="3">
        <v>18.875</v>
      </c>
      <c r="H67" s="1">
        <v>1</v>
      </c>
      <c r="I67" s="6">
        <v>58235</v>
      </c>
      <c r="J67" s="3">
        <v>12.9</v>
      </c>
      <c r="K67" s="3">
        <v>4.7</v>
      </c>
      <c r="L67" s="2">
        <v>6696893</v>
      </c>
      <c r="M67" s="2">
        <v>1050826</v>
      </c>
      <c r="N67" s="3">
        <v>15.7</v>
      </c>
      <c r="O67" s="3">
        <v>8</v>
      </c>
      <c r="P67" s="1">
        <v>1</v>
      </c>
      <c r="Q67" t="s">
        <v>39</v>
      </c>
      <c r="R67" s="7">
        <v>63866.1</v>
      </c>
      <c r="S67" s="6">
        <f>R67*1000000/L67</f>
        <v>9536.6761870019418</v>
      </c>
      <c r="T67" s="8">
        <f>LN(S67)</f>
        <v>9.1629002956630643</v>
      </c>
      <c r="U67" s="3" t="str">
        <f>IF(B67=2020,"",IF(A67=A66,(S67/S66-1)*100,""))</f>
        <v/>
      </c>
    </row>
    <row r="68" spans="1:21">
      <c r="A68" t="s">
        <v>38</v>
      </c>
      <c r="B68" s="1">
        <v>2021</v>
      </c>
      <c r="C68" s="6">
        <v>7635</v>
      </c>
      <c r="D68" s="6">
        <v>21281</v>
      </c>
      <c r="E68" s="6">
        <v>2400</v>
      </c>
      <c r="F68" s="3">
        <v>0.20738999999999999</v>
      </c>
      <c r="G68" s="3">
        <v>20.739000000000001</v>
      </c>
      <c r="H68" s="1">
        <v>1</v>
      </c>
      <c r="I68" s="6">
        <v>61944</v>
      </c>
      <c r="J68" s="3">
        <v>12.5</v>
      </c>
      <c r="K68" s="3">
        <v>4.7</v>
      </c>
      <c r="L68" s="2">
        <v>6751340</v>
      </c>
      <c r="M68" s="2">
        <v>1057547</v>
      </c>
      <c r="N68" s="3">
        <v>15.7</v>
      </c>
      <c r="O68" s="3">
        <v>8</v>
      </c>
      <c r="P68" s="1">
        <v>1</v>
      </c>
      <c r="Q68" t="s">
        <v>39</v>
      </c>
      <c r="R68" s="7">
        <v>71090.2</v>
      </c>
      <c r="S68" s="6">
        <f>R68*1000000/L68</f>
        <v>10529.791122947445</v>
      </c>
      <c r="T68" s="8">
        <f>LN(S68)</f>
        <v>9.2619637685540166</v>
      </c>
      <c r="U68" s="3">
        <f>IF(B68=2020,"",IF(A68=A67,(S68/S67-1)*100,""))</f>
        <v>10.413638006280145</v>
      </c>
    </row>
    <row r="69" spans="1:21">
      <c r="A69" t="s">
        <v>38</v>
      </c>
      <c r="B69" s="1">
        <v>2022</v>
      </c>
      <c r="C69" s="6">
        <v>7601</v>
      </c>
      <c r="D69" s="6">
        <v>21502</v>
      </c>
      <c r="E69" s="6">
        <v>2200</v>
      </c>
      <c r="F69" s="3">
        <v>0.17055000000000001</v>
      </c>
      <c r="G69" s="3">
        <v>17.055</v>
      </c>
      <c r="H69" s="1">
        <v>1</v>
      </c>
      <c r="I69" s="6">
        <v>67173</v>
      </c>
      <c r="J69" s="3">
        <v>12.3</v>
      </c>
      <c r="K69" s="3">
        <v>4.5</v>
      </c>
      <c r="L69" s="2">
        <v>6784403</v>
      </c>
      <c r="M69" s="2">
        <v>1097201</v>
      </c>
      <c r="N69" s="3">
        <v>16.2</v>
      </c>
      <c r="O69" s="3">
        <v>7.8</v>
      </c>
      <c r="P69" s="1">
        <v>1</v>
      </c>
      <c r="Q69" t="s">
        <v>39</v>
      </c>
      <c r="R69" s="7">
        <v>78910.7</v>
      </c>
      <c r="S69" s="6">
        <f>R69*1000000/L69</f>
        <v>11631.192899360489</v>
      </c>
      <c r="T69" s="8">
        <f>LN(S69)</f>
        <v>9.3614458111349208</v>
      </c>
      <c r="U69" s="3">
        <f>IF(B69=2020,"",IF(A69=A68,(S69/S68-1)*100,""))</f>
        <v>10.459863482123332</v>
      </c>
    </row>
    <row r="70" spans="1:21">
      <c r="A70" t="s">
        <v>38</v>
      </c>
      <c r="B70" s="1">
        <v>2023</v>
      </c>
      <c r="C70" s="6">
        <v>8236</v>
      </c>
      <c r="D70" s="6">
        <v>22965</v>
      </c>
      <c r="E70" s="6">
        <v>2560</v>
      </c>
      <c r="F70" s="3">
        <v>0.17252000000000001</v>
      </c>
      <c r="G70" s="3">
        <v>17.252000000000002</v>
      </c>
      <c r="H70" s="1">
        <v>1</v>
      </c>
      <c r="I70" s="6">
        <v>70051</v>
      </c>
      <c r="J70" s="3">
        <v>12.2</v>
      </c>
      <c r="K70" s="3">
        <v>4.3</v>
      </c>
      <c r="L70" s="2">
        <v>6811752</v>
      </c>
      <c r="M70" s="2">
        <v>1116303</v>
      </c>
      <c r="N70" s="3">
        <v>16.399999999999999</v>
      </c>
      <c r="O70" s="3">
        <v>7.6</v>
      </c>
      <c r="P70" s="1">
        <v>1</v>
      </c>
      <c r="Q70" t="s">
        <v>39</v>
      </c>
      <c r="R70" s="7">
        <v>85737.5</v>
      </c>
      <c r="S70" s="6">
        <f>R70*1000000/L70</f>
        <v>12586.703097822705</v>
      </c>
      <c r="T70" s="8">
        <f>LN(S70)</f>
        <v>9.440396226011611</v>
      </c>
      <c r="U70" s="3">
        <f>IF(B70=2020,"",IF(A70=A69,(S70/S69-1)*100,""))</f>
        <v>8.2150662165937582</v>
      </c>
    </row>
    <row r="71" spans="1:21">
      <c r="A71" t="s">
        <v>38</v>
      </c>
      <c r="B71" s="1">
        <v>2024</v>
      </c>
      <c r="C71" s="6">
        <v>8483</v>
      </c>
      <c r="D71" s="6">
        <v>24725</v>
      </c>
      <c r="E71" s="6">
        <v>2400</v>
      </c>
      <c r="F71" s="3">
        <v>0.17507</v>
      </c>
      <c r="G71" s="3">
        <v>17.507000000000001</v>
      </c>
      <c r="H71" s="1">
        <v>1</v>
      </c>
      <c r="I71" s="6">
        <v>71957</v>
      </c>
      <c r="J71" s="3">
        <v>12.3</v>
      </c>
      <c r="K71" s="3">
        <v>4.3</v>
      </c>
      <c r="L71" s="2">
        <v>6851073</v>
      </c>
      <c r="M71" s="2">
        <v>1147627</v>
      </c>
      <c r="N71" s="3">
        <v>16.8</v>
      </c>
      <c r="O71" s="3">
        <v>7.4</v>
      </c>
      <c r="P71" s="1">
        <v>1</v>
      </c>
      <c r="Q71" t="s">
        <v>39</v>
      </c>
      <c r="R71" s="7">
        <v>92640.5</v>
      </c>
      <c r="S71" s="6">
        <f>R71*1000000/L71</f>
        <v>13522.042459626397</v>
      </c>
      <c r="T71" s="8">
        <f>LN(S71)</f>
        <v>9.5120764076861004</v>
      </c>
      <c r="U71" s="3">
        <f>IF(B71=2020,"",IF(A71=A70,(S71/S70-1)*100,""))</f>
        <v>7.4311704545210855</v>
      </c>
    </row>
    <row r="72" spans="1:21">
      <c r="A72" t="s">
        <v>40</v>
      </c>
      <c r="B72" s="1">
        <v>2020</v>
      </c>
      <c r="C72" s="6">
        <v>6932</v>
      </c>
      <c r="D72" s="6">
        <v>18934</v>
      </c>
      <c r="E72" s="6">
        <v>2520</v>
      </c>
      <c r="F72" s="3">
        <v>0.20685999999999999</v>
      </c>
      <c r="G72" s="3">
        <v>20.686</v>
      </c>
      <c r="H72" s="1">
        <v>1</v>
      </c>
      <c r="I72" s="6">
        <v>61836</v>
      </c>
      <c r="J72" s="3">
        <v>11.1</v>
      </c>
      <c r="K72" s="3">
        <v>3.9</v>
      </c>
      <c r="L72" s="2">
        <v>3150011</v>
      </c>
      <c r="M72" s="2">
        <v>537401</v>
      </c>
      <c r="N72" s="3">
        <v>17.100000000000001</v>
      </c>
      <c r="O72" s="3">
        <v>4.7</v>
      </c>
      <c r="P72" s="1">
        <v>1</v>
      </c>
      <c r="Q72" t="s">
        <v>26</v>
      </c>
      <c r="R72" s="7">
        <v>26425.1</v>
      </c>
      <c r="S72" s="6">
        <f>R72*1000000/L72</f>
        <v>8388.8913403794468</v>
      </c>
      <c r="T72" s="8">
        <f>LN(S72)</f>
        <v>9.0346636501315167</v>
      </c>
      <c r="U72" s="3" t="str">
        <f>IF(B72=2020,"",IF(A72=A71,(S72/S71-1)*100,""))</f>
        <v/>
      </c>
    </row>
    <row r="73" spans="1:21">
      <c r="A73" t="s">
        <v>40</v>
      </c>
      <c r="B73" s="1">
        <v>2021</v>
      </c>
      <c r="C73" s="6">
        <v>6999</v>
      </c>
      <c r="D73" s="6">
        <v>20567</v>
      </c>
      <c r="E73" s="6">
        <v>2400</v>
      </c>
      <c r="F73" s="3">
        <v>0.16600000000000001</v>
      </c>
      <c r="G73" s="3">
        <v>16.600000000000001</v>
      </c>
      <c r="H73" s="1">
        <v>1</v>
      </c>
      <c r="I73" s="6">
        <v>65429</v>
      </c>
      <c r="J73" s="3">
        <v>11</v>
      </c>
      <c r="K73" s="3">
        <v>3.9</v>
      </c>
      <c r="L73" s="2">
        <v>3179090</v>
      </c>
      <c r="M73" s="2">
        <v>540542</v>
      </c>
      <c r="N73" s="3">
        <v>17</v>
      </c>
      <c r="O73" s="3">
        <v>4.9000000000000004</v>
      </c>
      <c r="P73" s="1">
        <v>1</v>
      </c>
      <c r="Q73" t="s">
        <v>26</v>
      </c>
      <c r="R73" s="7">
        <v>28836</v>
      </c>
      <c r="S73" s="6">
        <f>R73*1000000/L73</f>
        <v>9070.5201803031687</v>
      </c>
      <c r="T73" s="8">
        <f>LN(S73)</f>
        <v>9.1127848932069906</v>
      </c>
      <c r="U73" s="3">
        <f>IF(B73=2020,"",IF(A73=A72,(S73/S72-1)*100,""))</f>
        <v>8.1253745252694021</v>
      </c>
    </row>
    <row r="74" spans="1:21">
      <c r="A74" t="s">
        <v>40</v>
      </c>
      <c r="B74" s="1">
        <v>2022</v>
      </c>
      <c r="C74" s="6">
        <v>7433</v>
      </c>
      <c r="D74" s="6">
        <v>21696</v>
      </c>
      <c r="E74" s="6">
        <v>2400</v>
      </c>
      <c r="F74" s="3">
        <v>0.15820000000000001</v>
      </c>
      <c r="G74" s="3">
        <v>15.82</v>
      </c>
      <c r="H74" s="1">
        <v>1</v>
      </c>
      <c r="I74" s="6">
        <v>70571</v>
      </c>
      <c r="J74" s="3">
        <v>11.1</v>
      </c>
      <c r="K74" s="3">
        <v>3.8</v>
      </c>
      <c r="L74" s="2">
        <v>3188836</v>
      </c>
      <c r="M74" s="2">
        <v>560125</v>
      </c>
      <c r="N74" s="3">
        <v>17.600000000000001</v>
      </c>
      <c r="O74" s="3">
        <v>4.8</v>
      </c>
      <c r="P74" s="1">
        <v>1</v>
      </c>
      <c r="Q74" t="s">
        <v>26</v>
      </c>
      <c r="R74" s="7">
        <v>30354.799999999999</v>
      </c>
      <c r="S74" s="6">
        <f>R74*1000000/L74</f>
        <v>9519.0847067707473</v>
      </c>
      <c r="T74" s="8">
        <f>LN(S74)</f>
        <v>9.1610539789164864</v>
      </c>
      <c r="U74" s="3">
        <f>IF(B74=2020,"",IF(A74=A73,(S74/S73-1)*100,""))</f>
        <v>4.9453010141760734</v>
      </c>
    </row>
    <row r="75" spans="1:21">
      <c r="A75" t="s">
        <v>40</v>
      </c>
      <c r="B75" s="1">
        <v>2023</v>
      </c>
      <c r="C75" s="6">
        <v>8017</v>
      </c>
      <c r="D75" s="6">
        <v>23152</v>
      </c>
      <c r="E75" s="6">
        <v>2800</v>
      </c>
      <c r="F75" s="3">
        <v>0.16148999999999999</v>
      </c>
      <c r="G75" s="3">
        <v>16.149000000000001</v>
      </c>
      <c r="H75" s="1">
        <v>1</v>
      </c>
      <c r="I75" s="6">
        <v>73147</v>
      </c>
      <c r="J75" s="3">
        <v>11</v>
      </c>
      <c r="K75" s="3">
        <v>3.6</v>
      </c>
      <c r="L75" s="2">
        <v>3195937</v>
      </c>
      <c r="M75" s="2">
        <v>569081</v>
      </c>
      <c r="N75" s="3">
        <v>17.8</v>
      </c>
      <c r="O75" s="3">
        <v>4.9000000000000004</v>
      </c>
      <c r="P75" s="1">
        <v>1</v>
      </c>
      <c r="Q75" t="s">
        <v>26</v>
      </c>
      <c r="R75" s="7">
        <v>32162</v>
      </c>
      <c r="S75" s="6">
        <f>R75*1000000/L75</f>
        <v>10063.402376204538</v>
      </c>
      <c r="T75" s="8">
        <f>LN(S75)</f>
        <v>9.216660594844404</v>
      </c>
      <c r="U75" s="3">
        <f>IF(B75=2020,"",IF(A75=A74,(S75/S74-1)*100,""))</f>
        <v>5.7181723474592827</v>
      </c>
    </row>
    <row r="76" spans="1:21">
      <c r="A76" t="s">
        <v>40</v>
      </c>
      <c r="B76" s="1">
        <v>2024</v>
      </c>
      <c r="C76" s="6">
        <v>7641</v>
      </c>
      <c r="D76" s="6">
        <v>22954</v>
      </c>
      <c r="E76" s="6">
        <v>3000</v>
      </c>
      <c r="F76" s="3">
        <v>0.18825</v>
      </c>
      <c r="G76" s="3">
        <v>18.824999999999999</v>
      </c>
      <c r="H76" s="1">
        <v>1</v>
      </c>
      <c r="I76" s="6">
        <v>75059</v>
      </c>
      <c r="J76" s="3">
        <v>11.1</v>
      </c>
      <c r="K76" s="3">
        <v>3.6</v>
      </c>
      <c r="L76" s="2">
        <v>3210507</v>
      </c>
      <c r="M76" s="2">
        <v>582156</v>
      </c>
      <c r="N76" s="3">
        <v>18.100000000000001</v>
      </c>
      <c r="O76" s="3">
        <v>5</v>
      </c>
      <c r="P76" s="1">
        <v>1</v>
      </c>
      <c r="Q76" t="s">
        <v>26</v>
      </c>
      <c r="R76" s="7">
        <v>34161.4</v>
      </c>
      <c r="S76" s="6">
        <f>R76*1000000/L76</f>
        <v>10640.500083008696</v>
      </c>
      <c r="T76" s="8">
        <f>LN(S76)</f>
        <v>9.2724227620739281</v>
      </c>
      <c r="U76" s="3">
        <f>IF(B76=2020,"",IF(A76=A75,(S76/S75-1)*100,""))</f>
        <v>5.7346182258272371</v>
      </c>
    </row>
    <row r="77" spans="1:21">
      <c r="A77" t="s">
        <v>41</v>
      </c>
      <c r="B77" s="1">
        <v>2020</v>
      </c>
      <c r="C77" s="6">
        <v>6675</v>
      </c>
      <c r="D77" s="6">
        <v>20247</v>
      </c>
      <c r="E77" s="6">
        <v>2600</v>
      </c>
      <c r="F77" s="3">
        <v>0.19705</v>
      </c>
      <c r="G77" s="3">
        <v>19.705000000000002</v>
      </c>
      <c r="H77" s="1">
        <v>0</v>
      </c>
      <c r="I77" s="6">
        <v>61091</v>
      </c>
      <c r="J77" s="3">
        <v>11.4</v>
      </c>
      <c r="K77" s="3">
        <v>4.0999999999999996</v>
      </c>
      <c r="L77" s="2">
        <v>2912619</v>
      </c>
      <c r="M77" s="2">
        <v>460917</v>
      </c>
      <c r="N77" s="3">
        <v>15.8</v>
      </c>
      <c r="O77" s="3">
        <v>8.6999999999999993</v>
      </c>
      <c r="P77" s="1">
        <v>0</v>
      </c>
      <c r="Q77" t="s">
        <v>22</v>
      </c>
      <c r="R77" s="7">
        <v>24022</v>
      </c>
      <c r="S77" s="6">
        <f>R77*1000000/L77</f>
        <v>8247.5600138569444</v>
      </c>
      <c r="T77" s="8">
        <f>LN(S77)</f>
        <v>9.0176726796881983</v>
      </c>
      <c r="U77" s="3" t="str">
        <f>IF(B77=2020,"",IF(A77=A76,(S77/S76-1)*100,""))</f>
        <v/>
      </c>
    </row>
    <row r="78" spans="1:21">
      <c r="A78" t="s">
        <v>41</v>
      </c>
      <c r="B78" s="1">
        <v>2021</v>
      </c>
      <c r="C78" s="6">
        <v>6889</v>
      </c>
      <c r="D78" s="6">
        <v>19237</v>
      </c>
      <c r="E78" s="6">
        <v>2900</v>
      </c>
      <c r="F78" s="3">
        <v>0.18734000000000001</v>
      </c>
      <c r="G78" s="3">
        <v>18.734000000000002</v>
      </c>
      <c r="H78" s="1">
        <v>0</v>
      </c>
      <c r="I78" s="6">
        <v>64521</v>
      </c>
      <c r="J78" s="3">
        <v>11.5</v>
      </c>
      <c r="K78" s="3">
        <v>4.0999999999999996</v>
      </c>
      <c r="L78" s="2">
        <v>2932099</v>
      </c>
      <c r="M78" s="2">
        <v>464028</v>
      </c>
      <c r="N78" s="3">
        <v>15.8</v>
      </c>
      <c r="O78" s="3">
        <v>8.9</v>
      </c>
      <c r="P78" s="1">
        <v>0</v>
      </c>
      <c r="Q78" t="s">
        <v>22</v>
      </c>
      <c r="R78" s="7">
        <v>26358.5</v>
      </c>
      <c r="S78" s="6">
        <f>R78*1000000/L78</f>
        <v>8989.6350703028784</v>
      </c>
      <c r="T78" s="8">
        <f>LN(S78)</f>
        <v>9.1038275337944654</v>
      </c>
      <c r="U78" s="3">
        <f>IF(B78=2020,"",IF(A78=A77,(S78/S77-1)*100,""))</f>
        <v>8.9975102357443113</v>
      </c>
    </row>
    <row r="79" spans="1:21">
      <c r="A79" t="s">
        <v>41</v>
      </c>
      <c r="B79" s="1">
        <v>2022</v>
      </c>
      <c r="C79" s="6">
        <v>6885</v>
      </c>
      <c r="D79" s="6">
        <v>19461</v>
      </c>
      <c r="E79" s="6">
        <v>2900</v>
      </c>
      <c r="F79" s="3">
        <v>0.21767</v>
      </c>
      <c r="G79" s="3">
        <v>21.766999999999999</v>
      </c>
      <c r="H79" s="1">
        <v>0</v>
      </c>
      <c r="I79" s="6">
        <v>69747</v>
      </c>
      <c r="J79" s="3">
        <v>11.6</v>
      </c>
      <c r="K79" s="3">
        <v>4</v>
      </c>
      <c r="L79" s="2">
        <v>2935922</v>
      </c>
      <c r="M79" s="2">
        <v>478994</v>
      </c>
      <c r="N79" s="3">
        <v>16.3</v>
      </c>
      <c r="O79" s="3">
        <v>8.9</v>
      </c>
      <c r="P79" s="1">
        <v>0</v>
      </c>
      <c r="Q79" t="s">
        <v>22</v>
      </c>
      <c r="R79" s="7">
        <v>28227.5</v>
      </c>
      <c r="S79" s="6">
        <f>R79*1000000/L79</f>
        <v>9614.5265439613177</v>
      </c>
      <c r="T79" s="8">
        <f>LN(S79)</f>
        <v>9.1710304154128046</v>
      </c>
      <c r="U79" s="3">
        <f>IF(B79=2020,"",IF(A79=A78,(S79/S78-1)*100,""))</f>
        <v>6.9512440579791557</v>
      </c>
    </row>
    <row r="80" spans="1:21">
      <c r="A80" t="s">
        <v>41</v>
      </c>
      <c r="B80" s="1">
        <v>2023</v>
      </c>
      <c r="C80" s="6">
        <v>7575</v>
      </c>
      <c r="D80" s="6">
        <v>23018</v>
      </c>
      <c r="E80" s="6">
        <v>3300</v>
      </c>
      <c r="F80" s="3">
        <v>0.20222000000000001</v>
      </c>
      <c r="G80" s="3">
        <v>20.222000000000001</v>
      </c>
      <c r="H80" s="1">
        <v>0</v>
      </c>
      <c r="I80" s="6">
        <v>72639</v>
      </c>
      <c r="J80" s="3">
        <v>11.5</v>
      </c>
      <c r="K80" s="3">
        <v>3.9</v>
      </c>
      <c r="L80" s="2">
        <v>2937569</v>
      </c>
      <c r="M80" s="2">
        <v>486659</v>
      </c>
      <c r="N80" s="3">
        <v>16.600000000000001</v>
      </c>
      <c r="O80" s="3">
        <v>8.9</v>
      </c>
      <c r="P80" s="1">
        <v>0</v>
      </c>
      <c r="Q80" t="s">
        <v>22</v>
      </c>
      <c r="R80" s="7">
        <v>30601.599999999999</v>
      </c>
      <c r="S80" s="6">
        <f>R80*1000000/L80</f>
        <v>10417.321261219737</v>
      </c>
      <c r="T80" s="8">
        <f>LN(S80)</f>
        <v>9.2512252055991144</v>
      </c>
      <c r="U80" s="3">
        <f>IF(B80=2020,"",IF(A80=A79,(S80/S79-1)*100,""))</f>
        <v>8.349810191773166</v>
      </c>
    </row>
    <row r="81" spans="1:21">
      <c r="A81" t="s">
        <v>41</v>
      </c>
      <c r="B81" s="1">
        <v>2024</v>
      </c>
      <c r="C81" s="6">
        <v>7874</v>
      </c>
      <c r="D81" s="6">
        <v>24220</v>
      </c>
      <c r="E81" s="6">
        <v>2600</v>
      </c>
      <c r="F81" s="3">
        <v>0.15901000000000001</v>
      </c>
      <c r="G81" s="3">
        <v>15.901000000000002</v>
      </c>
      <c r="H81" s="1">
        <v>0</v>
      </c>
      <c r="I81" s="6">
        <v>74275</v>
      </c>
      <c r="J81" s="3">
        <v>11.3</v>
      </c>
      <c r="K81" s="3">
        <v>3.9</v>
      </c>
      <c r="L81" s="2">
        <v>2947197</v>
      </c>
      <c r="M81" s="2">
        <v>499834</v>
      </c>
      <c r="N81" s="3">
        <v>17</v>
      </c>
      <c r="O81" s="3">
        <v>8.8000000000000007</v>
      </c>
      <c r="P81" s="1">
        <v>0</v>
      </c>
      <c r="Q81" t="s">
        <v>22</v>
      </c>
      <c r="R81" s="7">
        <v>32815.599999999999</v>
      </c>
      <c r="S81" s="6">
        <f>R81*1000000/L81</f>
        <v>11134.511876878269</v>
      </c>
      <c r="T81" s="8">
        <f>LN(S81)</f>
        <v>9.3178047418988381</v>
      </c>
      <c r="U81" s="3">
        <f>IF(B81=2020,"",IF(A81=A80,(S81/S80-1)*100,""))</f>
        <v>6.8845972748137862</v>
      </c>
    </row>
    <row r="82" spans="1:21">
      <c r="A82" t="s">
        <v>42</v>
      </c>
      <c r="B82" s="1">
        <v>2020</v>
      </c>
      <c r="C82" s="6">
        <v>6949</v>
      </c>
      <c r="D82" s="6">
        <v>20396</v>
      </c>
      <c r="E82" s="6">
        <v>1560</v>
      </c>
      <c r="F82" s="3">
        <v>0.16644</v>
      </c>
      <c r="G82" s="3">
        <v>16.644000000000002</v>
      </c>
      <c r="H82" s="1">
        <v>1</v>
      </c>
      <c r="I82" s="6">
        <v>52238</v>
      </c>
      <c r="J82" s="3">
        <v>16.600000000000001</v>
      </c>
      <c r="K82" s="3">
        <v>5.4</v>
      </c>
      <c r="L82" s="2">
        <v>4461952</v>
      </c>
      <c r="M82" s="2">
        <v>729928</v>
      </c>
      <c r="N82" s="3">
        <v>16.399999999999999</v>
      </c>
      <c r="O82" s="3">
        <v>5.6</v>
      </c>
      <c r="P82" s="1">
        <v>1</v>
      </c>
      <c r="Q82" t="s">
        <v>26</v>
      </c>
      <c r="R82" s="7">
        <v>40041.9</v>
      </c>
      <c r="S82" s="6">
        <f>R82*1000000/L82</f>
        <v>8974.0768166040325</v>
      </c>
      <c r="T82" s="8">
        <f>LN(S82)</f>
        <v>9.1020953464061378</v>
      </c>
      <c r="U82" s="3" t="str">
        <f>IF(B82=2020,"",IF(A82=A81,(S82/S81-1)*100,""))</f>
        <v/>
      </c>
    </row>
    <row r="83" spans="1:21">
      <c r="A83" t="s">
        <v>42</v>
      </c>
      <c r="B83" s="1">
        <v>2021</v>
      </c>
      <c r="C83" s="6">
        <v>7319</v>
      </c>
      <c r="D83" s="6">
        <v>21531</v>
      </c>
      <c r="E83" s="6">
        <v>1500</v>
      </c>
      <c r="F83" s="3">
        <v>0.17695</v>
      </c>
      <c r="G83" s="3">
        <v>17.695</v>
      </c>
      <c r="H83" s="1">
        <v>1</v>
      </c>
      <c r="I83" s="6">
        <v>55454</v>
      </c>
      <c r="J83" s="3">
        <v>16.3</v>
      </c>
      <c r="K83" s="3">
        <v>5.3</v>
      </c>
      <c r="L83" s="2">
        <v>4494141</v>
      </c>
      <c r="M83" s="2">
        <v>734851</v>
      </c>
      <c r="N83" s="3">
        <v>16.399999999999999</v>
      </c>
      <c r="O83" s="3">
        <v>5.8</v>
      </c>
      <c r="P83" s="1">
        <v>1</v>
      </c>
      <c r="Q83" t="s">
        <v>26</v>
      </c>
      <c r="R83" s="7">
        <v>45366.7</v>
      </c>
      <c r="S83" s="6">
        <f>R83*1000000/L83</f>
        <v>10094.632099882936</v>
      </c>
      <c r="T83" s="8">
        <f>LN(S83)</f>
        <v>9.2197590862871994</v>
      </c>
      <c r="U83" s="3">
        <f>IF(B83=2020,"",IF(A83=A82,(S83/S82-1)*100,""))</f>
        <v>12.486580025765193</v>
      </c>
    </row>
    <row r="84" spans="1:21">
      <c r="A84" t="s">
        <v>42</v>
      </c>
      <c r="B84" s="1">
        <v>2022</v>
      </c>
      <c r="C84" s="6">
        <v>6990</v>
      </c>
      <c r="D84" s="6">
        <v>22225</v>
      </c>
      <c r="E84" s="6">
        <v>1500</v>
      </c>
      <c r="F84" s="3">
        <v>0.15712000000000001</v>
      </c>
      <c r="G84" s="3">
        <v>15.712000000000002</v>
      </c>
      <c r="H84" s="1">
        <v>1</v>
      </c>
      <c r="I84" s="6">
        <v>60183</v>
      </c>
      <c r="J84" s="3">
        <v>16.100000000000001</v>
      </c>
      <c r="K84" s="3">
        <v>5.0999999999999996</v>
      </c>
      <c r="L84" s="2">
        <v>4502935</v>
      </c>
      <c r="M84" s="2">
        <v>756439</v>
      </c>
      <c r="N84" s="3">
        <v>16.8</v>
      </c>
      <c r="O84" s="3">
        <v>5.9</v>
      </c>
      <c r="P84" s="1">
        <v>1</v>
      </c>
      <c r="Q84" t="s">
        <v>26</v>
      </c>
      <c r="R84" s="7">
        <v>48688.3</v>
      </c>
      <c r="S84" s="6">
        <f>R84*1000000/L84</f>
        <v>10812.570023773384</v>
      </c>
      <c r="T84" s="8">
        <f>LN(S84)</f>
        <v>9.2884646274062987</v>
      </c>
      <c r="U84" s="3">
        <f>IF(B84=2020,"",IF(A84=A83,(S84/S83-1)*100,""))</f>
        <v>7.1120761686676248</v>
      </c>
    </row>
    <row r="85" spans="1:21">
      <c r="A85" t="s">
        <v>42</v>
      </c>
      <c r="B85" s="1">
        <v>2023</v>
      </c>
      <c r="C85" s="6">
        <v>8002</v>
      </c>
      <c r="D85" s="6">
        <v>23553</v>
      </c>
      <c r="E85" s="6">
        <v>1500</v>
      </c>
      <c r="F85" s="3">
        <v>0.16993</v>
      </c>
      <c r="G85" s="3">
        <v>16.992999999999999</v>
      </c>
      <c r="H85" s="1">
        <v>1</v>
      </c>
      <c r="I85" s="6">
        <v>62417</v>
      </c>
      <c r="J85" s="3">
        <v>16.100000000000001</v>
      </c>
      <c r="K85" s="3">
        <v>4.8</v>
      </c>
      <c r="L85" s="2">
        <v>4510725</v>
      </c>
      <c r="M85" s="2">
        <v>767995</v>
      </c>
      <c r="N85" s="3">
        <v>17</v>
      </c>
      <c r="O85" s="3">
        <v>5.9</v>
      </c>
      <c r="P85" s="1">
        <v>1</v>
      </c>
      <c r="Q85" t="s">
        <v>26</v>
      </c>
      <c r="R85" s="7">
        <v>53348</v>
      </c>
      <c r="S85" s="6">
        <f>R85*1000000/L85</f>
        <v>11826.923609840989</v>
      </c>
      <c r="T85" s="8">
        <f>LN(S85)</f>
        <v>9.3781338732669521</v>
      </c>
      <c r="U85" s="3">
        <f>IF(B85=2020,"",IF(A85=A84,(S85/S84-1)*100,""))</f>
        <v>9.3812440875514991</v>
      </c>
    </row>
    <row r="86" spans="1:21">
      <c r="A86" t="s">
        <v>42</v>
      </c>
      <c r="B86" s="1">
        <v>2024</v>
      </c>
      <c r="C86" s="6">
        <v>8067</v>
      </c>
      <c r="D86" s="6">
        <v>23584</v>
      </c>
      <c r="E86" s="6">
        <v>1500</v>
      </c>
      <c r="F86" s="3">
        <v>0.15110000000000001</v>
      </c>
      <c r="G86" s="3">
        <v>15.110000000000001</v>
      </c>
      <c r="H86" s="1">
        <v>1</v>
      </c>
      <c r="I86" s="6">
        <v>63726</v>
      </c>
      <c r="J86" s="3">
        <v>16.100000000000001</v>
      </c>
      <c r="K86" s="3">
        <v>4.9000000000000004</v>
      </c>
      <c r="L86" s="2">
        <v>4534824</v>
      </c>
      <c r="M86" s="2">
        <v>784676</v>
      </c>
      <c r="N86" s="3">
        <v>17.3</v>
      </c>
      <c r="O86" s="3">
        <v>6</v>
      </c>
      <c r="P86" s="1">
        <v>1</v>
      </c>
      <c r="Q86" t="s">
        <v>26</v>
      </c>
      <c r="R86" s="7">
        <v>56960</v>
      </c>
      <c r="S86" s="6">
        <f>R86*1000000/L86</f>
        <v>12560.575669529842</v>
      </c>
      <c r="T86" s="8">
        <f>LN(S86)</f>
        <v>9.4383182725331576</v>
      </c>
      <c r="U86" s="3">
        <f>IF(B86=2020,"",IF(A86=A85,(S86/S85-1)*100,""))</f>
        <v>6.2032366479343182</v>
      </c>
    </row>
    <row r="87" spans="1:21">
      <c r="A87" t="s">
        <v>43</v>
      </c>
      <c r="B87" s="1">
        <v>2020</v>
      </c>
      <c r="C87" s="6">
        <v>6713</v>
      </c>
      <c r="D87" s="6">
        <v>18930</v>
      </c>
      <c r="E87" s="6">
        <v>1200</v>
      </c>
      <c r="F87" s="3">
        <v>0.19395000000000001</v>
      </c>
      <c r="G87" s="3">
        <v>19.395</v>
      </c>
      <c r="H87" s="1">
        <v>1</v>
      </c>
      <c r="I87" s="6">
        <v>50800</v>
      </c>
      <c r="J87" s="3">
        <v>18.600000000000001</v>
      </c>
      <c r="K87" s="3">
        <v>6.6</v>
      </c>
      <c r="L87" s="2">
        <v>4664616</v>
      </c>
      <c r="M87" s="2">
        <v>719544</v>
      </c>
      <c r="N87" s="3">
        <v>15.4</v>
      </c>
      <c r="O87" s="3">
        <v>8.6999999999999993</v>
      </c>
      <c r="P87" s="1">
        <v>1</v>
      </c>
      <c r="Q87" t="s">
        <v>44</v>
      </c>
      <c r="R87" s="7">
        <v>42896.1</v>
      </c>
      <c r="S87" s="6">
        <f>R87*1000000/L87</f>
        <v>9196.0624411527115</v>
      </c>
      <c r="T87" s="8">
        <f>LN(S87)</f>
        <v>9.1265306758940259</v>
      </c>
      <c r="U87" s="3" t="str">
        <f>IF(B87=2020,"",IF(A87=A86,(S87/S86-1)*100,""))</f>
        <v/>
      </c>
    </row>
    <row r="88" spans="1:21">
      <c r="A88" t="s">
        <v>43</v>
      </c>
      <c r="B88" s="1">
        <v>2021</v>
      </c>
      <c r="C88" s="6">
        <v>6785</v>
      </c>
      <c r="D88" s="6">
        <v>19305</v>
      </c>
      <c r="E88" s="6">
        <v>1020</v>
      </c>
      <c r="F88" s="3">
        <v>0.16206999999999999</v>
      </c>
      <c r="G88" s="3">
        <v>16.207000000000001</v>
      </c>
      <c r="H88" s="1">
        <v>1</v>
      </c>
      <c r="I88" s="6">
        <v>53571</v>
      </c>
      <c r="J88" s="3">
        <v>18.8</v>
      </c>
      <c r="K88" s="3">
        <v>6.8</v>
      </c>
      <c r="L88" s="2">
        <v>4657305</v>
      </c>
      <c r="M88" s="2">
        <v>722446</v>
      </c>
      <c r="N88" s="3">
        <v>15.5</v>
      </c>
      <c r="O88" s="3">
        <v>8.3000000000000007</v>
      </c>
      <c r="P88" s="1">
        <v>1</v>
      </c>
      <c r="Q88" t="s">
        <v>44</v>
      </c>
      <c r="R88" s="7">
        <v>48042.2</v>
      </c>
      <c r="S88" s="6">
        <f>R88*1000000/L88</f>
        <v>10315.450673726544</v>
      </c>
      <c r="T88" s="8">
        <f>LN(S88)</f>
        <v>9.241398115653837</v>
      </c>
      <c r="U88" s="3">
        <f>IF(B88=2020,"",IF(A88=A87,(S88/S87-1)*100,""))</f>
        <v>12.172473161605879</v>
      </c>
    </row>
    <row r="89" spans="1:21">
      <c r="A89" t="s">
        <v>43</v>
      </c>
      <c r="B89" s="1">
        <v>2022</v>
      </c>
      <c r="C89" s="6">
        <v>7422</v>
      </c>
      <c r="D89" s="6">
        <v>20345</v>
      </c>
      <c r="E89" s="6">
        <v>1000</v>
      </c>
      <c r="F89" s="3">
        <v>0.17066999999999999</v>
      </c>
      <c r="G89" s="3">
        <v>17.067</v>
      </c>
      <c r="H89" s="1">
        <v>1</v>
      </c>
      <c r="I89" s="6">
        <v>57852</v>
      </c>
      <c r="J89" s="3">
        <v>18.7</v>
      </c>
      <c r="K89" s="3">
        <v>6.6</v>
      </c>
      <c r="L89" s="2">
        <v>4640546</v>
      </c>
      <c r="M89" s="2">
        <v>743243</v>
      </c>
      <c r="N89" s="3">
        <v>16</v>
      </c>
      <c r="O89" s="3">
        <v>8.1</v>
      </c>
      <c r="P89" s="1">
        <v>1</v>
      </c>
      <c r="Q89" t="s">
        <v>44</v>
      </c>
      <c r="R89" s="7">
        <v>50478.1</v>
      </c>
      <c r="S89" s="6">
        <f>R89*1000000/L89</f>
        <v>10877.620866165318</v>
      </c>
      <c r="T89" s="8">
        <f>LN(S89)</f>
        <v>9.2944628261088607</v>
      </c>
      <c r="U89" s="3">
        <f>IF(B89=2020,"",IF(A89=A88,(S89/S88-1)*100,""))</f>
        <v>5.4497879949212624</v>
      </c>
    </row>
    <row r="90" spans="1:21">
      <c r="A90" t="s">
        <v>43</v>
      </c>
      <c r="B90" s="1">
        <v>2023</v>
      </c>
      <c r="C90" s="6">
        <v>7966</v>
      </c>
      <c r="D90" s="6">
        <v>23325</v>
      </c>
      <c r="E90" s="6">
        <v>1000</v>
      </c>
      <c r="F90" s="3">
        <v>0.17335999999999999</v>
      </c>
      <c r="G90" s="3">
        <v>17.335999999999999</v>
      </c>
      <c r="H90" s="1">
        <v>1</v>
      </c>
      <c r="I90" s="6">
        <v>60023</v>
      </c>
      <c r="J90" s="3">
        <v>18.899999999999999</v>
      </c>
      <c r="K90" s="3">
        <v>6.3</v>
      </c>
      <c r="L90" s="2">
        <v>4621025</v>
      </c>
      <c r="M90" s="2">
        <v>753854</v>
      </c>
      <c r="N90" s="3">
        <v>16.3</v>
      </c>
      <c r="O90" s="3">
        <v>8.1</v>
      </c>
      <c r="P90" s="1">
        <v>1</v>
      </c>
      <c r="Q90" t="s">
        <v>44</v>
      </c>
      <c r="R90" s="7">
        <v>54705.1</v>
      </c>
      <c r="S90" s="6">
        <f>R90*1000000/L90</f>
        <v>11838.304272320534</v>
      </c>
      <c r="T90" s="8">
        <f>LN(S90)</f>
        <v>9.3790956779377996</v>
      </c>
      <c r="U90" s="3">
        <f>IF(B90=2020,"",IF(A90=A89,(S90/S89-1)*100,""))</f>
        <v>8.8317419587899728</v>
      </c>
    </row>
    <row r="91" spans="1:21">
      <c r="A91" t="s">
        <v>43</v>
      </c>
      <c r="B91" s="1">
        <v>2024</v>
      </c>
      <c r="C91" s="6">
        <v>8158</v>
      </c>
      <c r="D91" s="6">
        <v>23190</v>
      </c>
      <c r="E91" s="6">
        <v>1150</v>
      </c>
      <c r="F91" s="3">
        <v>0.15937000000000001</v>
      </c>
      <c r="G91" s="3">
        <v>15.937000000000001</v>
      </c>
      <c r="H91" s="1">
        <v>1</v>
      </c>
      <c r="I91" s="6">
        <v>60756</v>
      </c>
      <c r="J91" s="3">
        <v>18.899999999999999</v>
      </c>
      <c r="K91" s="3">
        <v>6.3</v>
      </c>
      <c r="L91" s="2">
        <v>4611961</v>
      </c>
      <c r="M91" s="2">
        <v>772404</v>
      </c>
      <c r="N91" s="3">
        <v>16.7</v>
      </c>
      <c r="O91" s="3">
        <v>7.8</v>
      </c>
      <c r="P91" s="1">
        <v>1</v>
      </c>
      <c r="Q91" t="s">
        <v>44</v>
      </c>
      <c r="R91" s="7">
        <v>58197.8</v>
      </c>
      <c r="S91" s="6">
        <f>R91*1000000/L91</f>
        <v>12618.883811029626</v>
      </c>
      <c r="T91" s="8">
        <f>LN(S91)</f>
        <v>9.4429496861479354</v>
      </c>
      <c r="U91" s="3">
        <f>IF(B91=2020,"",IF(A91=A90,(S91/S90-1)*100,""))</f>
        <v>6.5936769384631111</v>
      </c>
    </row>
    <row r="92" spans="1:21">
      <c r="A92" t="s">
        <v>45</v>
      </c>
      <c r="B92" s="1">
        <v>2020</v>
      </c>
      <c r="C92" s="6">
        <v>7496</v>
      </c>
      <c r="D92" s="6">
        <v>20728</v>
      </c>
      <c r="E92" s="6">
        <v>2000</v>
      </c>
      <c r="F92" s="3">
        <v>0.21057999999999999</v>
      </c>
      <c r="G92" s="3">
        <v>21.058</v>
      </c>
      <c r="H92" s="1">
        <v>1</v>
      </c>
      <c r="I92" s="6">
        <v>59489</v>
      </c>
      <c r="J92" s="3">
        <v>11.1</v>
      </c>
      <c r="K92" s="3">
        <v>4</v>
      </c>
      <c r="L92" s="2">
        <v>1340825</v>
      </c>
      <c r="M92" s="2">
        <v>276567</v>
      </c>
      <c r="N92" s="3">
        <v>20.6</v>
      </c>
      <c r="O92" s="3">
        <v>7.6</v>
      </c>
      <c r="P92" s="1">
        <v>1</v>
      </c>
      <c r="Q92" t="s">
        <v>46</v>
      </c>
      <c r="R92" s="7">
        <v>13768</v>
      </c>
      <c r="S92" s="6">
        <f>R92*1000000/L92</f>
        <v>10268.304961497586</v>
      </c>
      <c r="T92" s="8">
        <f>LN(S92)</f>
        <v>9.2368172417347942</v>
      </c>
      <c r="U92" s="3" t="str">
        <f>IF(B92=2020,"",IF(A92=A91,(S92/S91-1)*100,""))</f>
        <v/>
      </c>
    </row>
    <row r="93" spans="1:21">
      <c r="A93" t="s">
        <v>45</v>
      </c>
      <c r="B93" s="1">
        <v>2021</v>
      </c>
      <c r="C93" s="6">
        <v>7677</v>
      </c>
      <c r="D93" s="6">
        <v>21630</v>
      </c>
      <c r="E93" s="6">
        <v>2400</v>
      </c>
      <c r="F93" s="3">
        <v>0.18658</v>
      </c>
      <c r="G93" s="3">
        <v>18.658000000000001</v>
      </c>
      <c r="H93" s="1">
        <v>1</v>
      </c>
      <c r="I93" s="6">
        <v>63182</v>
      </c>
      <c r="J93" s="3">
        <v>11</v>
      </c>
      <c r="K93" s="3">
        <v>4.2</v>
      </c>
      <c r="L93" s="2">
        <v>1357046</v>
      </c>
      <c r="M93" s="2">
        <v>280821</v>
      </c>
      <c r="N93" s="3">
        <v>20.7</v>
      </c>
      <c r="O93" s="3">
        <v>7.4</v>
      </c>
      <c r="P93" s="1">
        <v>1</v>
      </c>
      <c r="Q93" t="s">
        <v>46</v>
      </c>
      <c r="R93" s="7">
        <v>14911.7</v>
      </c>
      <c r="S93" s="6">
        <f>R93*1000000/L93</f>
        <v>10988.352642430691</v>
      </c>
      <c r="T93" s="8">
        <f>LN(S93)</f>
        <v>9.3045911401139687</v>
      </c>
      <c r="U93" s="3">
        <f>IF(B93=2020,"",IF(A93=A92,(S93/S92-1)*100,""))</f>
        <v>7.0123324505166451</v>
      </c>
    </row>
    <row r="94" spans="1:21">
      <c r="A94" t="s">
        <v>45</v>
      </c>
      <c r="B94" s="1">
        <v>2022</v>
      </c>
      <c r="C94" s="6">
        <v>7993</v>
      </c>
      <c r="D94" s="6">
        <v>22667</v>
      </c>
      <c r="E94" s="6">
        <v>2400</v>
      </c>
      <c r="F94" s="3">
        <v>0.16880999999999999</v>
      </c>
      <c r="G94" s="3">
        <v>16.881</v>
      </c>
      <c r="H94" s="1">
        <v>1</v>
      </c>
      <c r="I94" s="6">
        <v>68251</v>
      </c>
      <c r="J94" s="3">
        <v>10.9</v>
      </c>
      <c r="K94" s="3">
        <v>4</v>
      </c>
      <c r="L94" s="2">
        <v>1366949</v>
      </c>
      <c r="M94" s="2">
        <v>293488</v>
      </c>
      <c r="N94" s="3">
        <v>21.5</v>
      </c>
      <c r="O94" s="3">
        <v>7.1</v>
      </c>
      <c r="P94" s="1">
        <v>1</v>
      </c>
      <c r="Q94" t="s">
        <v>46</v>
      </c>
      <c r="R94" s="7">
        <v>15840.2</v>
      </c>
      <c r="S94" s="6">
        <f>R94*1000000/L94</f>
        <v>11587.996333440384</v>
      </c>
      <c r="T94" s="8">
        <f>LN(S94)</f>
        <v>9.3577250424791441</v>
      </c>
      <c r="U94" s="3">
        <f>IF(B94=2020,"",IF(A94=A93,(S94/S93-1)*100,""))</f>
        <v>5.4570845196050044</v>
      </c>
    </row>
    <row r="95" spans="1:21">
      <c r="A95" t="s">
        <v>45</v>
      </c>
      <c r="B95" s="1">
        <v>2023</v>
      </c>
      <c r="C95" s="6">
        <v>8892</v>
      </c>
      <c r="D95" s="6">
        <v>25207</v>
      </c>
      <c r="E95" s="6">
        <v>2000</v>
      </c>
      <c r="F95" s="3">
        <v>0.16711000000000001</v>
      </c>
      <c r="G95" s="3">
        <v>16.711000000000002</v>
      </c>
      <c r="H95" s="1">
        <v>1</v>
      </c>
      <c r="I95" s="6">
        <v>71773</v>
      </c>
      <c r="J95" s="3">
        <v>10.8</v>
      </c>
      <c r="K95" s="3">
        <v>3.9</v>
      </c>
      <c r="L95" s="2">
        <v>1377400</v>
      </c>
      <c r="M95" s="2">
        <v>301161</v>
      </c>
      <c r="N95" s="3">
        <v>21.9</v>
      </c>
      <c r="O95" s="3">
        <v>6.6</v>
      </c>
      <c r="P95" s="1">
        <v>1</v>
      </c>
      <c r="Q95" t="s">
        <v>46</v>
      </c>
      <c r="R95" s="7">
        <v>17160.3</v>
      </c>
      <c r="S95" s="6">
        <f>R95*1000000/L95</f>
        <v>12458.472484390881</v>
      </c>
      <c r="T95" s="8">
        <f>LN(S95)</f>
        <v>9.430156191278158</v>
      </c>
      <c r="U95" s="3">
        <f>IF(B95=2020,"",IF(A95=A94,(S95/S94-1)*100,""))</f>
        <v>7.5118780322573686</v>
      </c>
    </row>
    <row r="96" spans="1:21">
      <c r="A96" t="s">
        <v>45</v>
      </c>
      <c r="B96" s="1">
        <v>2024</v>
      </c>
      <c r="C96" s="6">
        <v>8769</v>
      </c>
      <c r="D96" s="6">
        <v>25568</v>
      </c>
      <c r="E96" s="6">
        <v>2600</v>
      </c>
      <c r="F96" s="3">
        <v>0.16139999999999999</v>
      </c>
      <c r="G96" s="3">
        <v>16.14</v>
      </c>
      <c r="H96" s="1">
        <v>1</v>
      </c>
      <c r="I96" s="6">
        <v>74733</v>
      </c>
      <c r="J96" s="3">
        <v>10.7</v>
      </c>
      <c r="K96" s="3">
        <v>3.8</v>
      </c>
      <c r="L96" s="2">
        <v>1387817</v>
      </c>
      <c r="M96" s="2">
        <v>310420</v>
      </c>
      <c r="N96" s="3">
        <v>22.4</v>
      </c>
      <c r="O96" s="3">
        <v>6.2</v>
      </c>
      <c r="P96" s="1">
        <v>1</v>
      </c>
      <c r="Q96" t="s">
        <v>46</v>
      </c>
      <c r="R96" s="7">
        <v>18686.099999999999</v>
      </c>
      <c r="S96" s="6">
        <f>R96*1000000/L96</f>
        <v>13464.383272434334</v>
      </c>
      <c r="T96" s="8">
        <f>LN(S96)</f>
        <v>9.507803201926734</v>
      </c>
      <c r="U96" s="3">
        <f>IF(B96=2020,"",IF(A96=A95,(S96/S95-1)*100,""))</f>
        <v>8.0741101230809029</v>
      </c>
    </row>
    <row r="97" spans="1:21">
      <c r="A97" t="s">
        <v>47</v>
      </c>
      <c r="B97" s="1">
        <v>2020</v>
      </c>
      <c r="C97" s="6">
        <v>7352</v>
      </c>
      <c r="D97" s="6">
        <v>20424</v>
      </c>
      <c r="E97" s="6">
        <v>2400</v>
      </c>
      <c r="F97" s="3">
        <v>0.13300999999999999</v>
      </c>
      <c r="G97" s="3">
        <v>13.300999999999998</v>
      </c>
      <c r="H97" s="1">
        <v>1</v>
      </c>
      <c r="I97" s="6">
        <v>87063</v>
      </c>
      <c r="J97" s="3">
        <v>9</v>
      </c>
      <c r="K97" s="3">
        <v>5.2</v>
      </c>
      <c r="L97" s="2">
        <v>6037624</v>
      </c>
      <c r="M97" s="2">
        <v>930875</v>
      </c>
      <c r="N97" s="3">
        <v>15.4</v>
      </c>
      <c r="O97" s="3">
        <v>5.9</v>
      </c>
      <c r="P97" s="1">
        <v>1</v>
      </c>
      <c r="Q97" t="s">
        <v>26</v>
      </c>
      <c r="R97" s="7">
        <v>56120.4</v>
      </c>
      <c r="S97" s="6">
        <f>R97*1000000/L97</f>
        <v>9295.1134419765131</v>
      </c>
      <c r="T97" s="8">
        <f>LN(S97)</f>
        <v>9.1372441047046848</v>
      </c>
      <c r="U97" s="3" t="str">
        <f>IF(B97=2020,"",IF(A97=A96,(S97/S96-1)*100,""))</f>
        <v/>
      </c>
    </row>
    <row r="98" spans="1:21">
      <c r="A98" t="s">
        <v>47</v>
      </c>
      <c r="B98" s="1">
        <v>2021</v>
      </c>
      <c r="C98" s="6">
        <v>7272</v>
      </c>
      <c r="D98" s="6">
        <v>21648</v>
      </c>
      <c r="E98" s="6">
        <v>2500</v>
      </c>
      <c r="F98" s="3">
        <v>0.15776000000000001</v>
      </c>
      <c r="G98" s="3">
        <v>15.776000000000002</v>
      </c>
      <c r="H98" s="1">
        <v>1</v>
      </c>
      <c r="I98" s="6">
        <v>91431</v>
      </c>
      <c r="J98" s="3">
        <v>9.1999999999999993</v>
      </c>
      <c r="K98" s="3">
        <v>5.3</v>
      </c>
      <c r="L98" s="2">
        <v>6148545</v>
      </c>
      <c r="M98" s="2">
        <v>949890</v>
      </c>
      <c r="N98" s="3">
        <v>15.4</v>
      </c>
      <c r="O98" s="3">
        <v>6</v>
      </c>
      <c r="P98" s="1">
        <v>1</v>
      </c>
      <c r="Q98" t="s">
        <v>26</v>
      </c>
      <c r="R98" s="7">
        <v>60894.6</v>
      </c>
      <c r="S98" s="6">
        <f>R98*1000000/L98</f>
        <v>9903.9040943833061</v>
      </c>
      <c r="T98" s="8">
        <f>LN(S98)</f>
        <v>9.2006843113539976</v>
      </c>
      <c r="U98" s="3">
        <f>IF(B98=2020,"",IF(A98=A97,(S98/S97-1)*100,""))</f>
        <v>6.5495774334233481</v>
      </c>
    </row>
    <row r="99" spans="1:21">
      <c r="A99" t="s">
        <v>47</v>
      </c>
      <c r="B99" s="1">
        <v>2022</v>
      </c>
      <c r="C99" s="6">
        <v>7978</v>
      </c>
      <c r="D99" s="6">
        <v>22341</v>
      </c>
      <c r="E99" s="6">
        <v>2384</v>
      </c>
      <c r="F99" s="3">
        <v>0.16353000000000001</v>
      </c>
      <c r="G99" s="3">
        <v>16.353000000000002</v>
      </c>
      <c r="H99" s="1">
        <v>1</v>
      </c>
      <c r="I99" s="6">
        <v>98461</v>
      </c>
      <c r="J99" s="3">
        <v>9.3000000000000007</v>
      </c>
      <c r="K99" s="3">
        <v>5.0999999999999996</v>
      </c>
      <c r="L99" s="2">
        <v>6161707</v>
      </c>
      <c r="M99" s="2">
        <v>986154</v>
      </c>
      <c r="N99" s="3">
        <v>16</v>
      </c>
      <c r="O99" s="3">
        <v>5.9</v>
      </c>
      <c r="P99" s="1">
        <v>1</v>
      </c>
      <c r="Q99" t="s">
        <v>26</v>
      </c>
      <c r="R99" s="7">
        <v>64481.1</v>
      </c>
      <c r="S99" s="6">
        <f>R99*1000000/L99</f>
        <v>10464.811131071308</v>
      </c>
      <c r="T99" s="8">
        <f>LN(S99)</f>
        <v>9.2557735870413005</v>
      </c>
      <c r="U99" s="3">
        <f>IF(B99=2020,"",IF(A99=A98,(S99/S98-1)*100,""))</f>
        <v>5.6634942275552103</v>
      </c>
    </row>
    <row r="100" spans="1:21">
      <c r="A100" t="s">
        <v>47</v>
      </c>
      <c r="B100" s="1">
        <v>2023</v>
      </c>
      <c r="C100" s="6">
        <v>7870</v>
      </c>
      <c r="D100" s="6">
        <v>23945</v>
      </c>
      <c r="E100" s="6">
        <v>2400</v>
      </c>
      <c r="F100" s="3">
        <v>0.1394</v>
      </c>
      <c r="G100" s="3">
        <v>13.94</v>
      </c>
      <c r="H100" s="1">
        <v>1</v>
      </c>
      <c r="I100" s="6">
        <v>101652</v>
      </c>
      <c r="J100" s="3">
        <v>9.3000000000000007</v>
      </c>
      <c r="K100" s="3">
        <v>4.9000000000000004</v>
      </c>
      <c r="L100" s="2">
        <v>6170738</v>
      </c>
      <c r="M100" s="2">
        <v>1003219</v>
      </c>
      <c r="N100" s="3">
        <v>16.3</v>
      </c>
      <c r="O100" s="3">
        <v>6.2</v>
      </c>
      <c r="P100" s="1">
        <v>1</v>
      </c>
      <c r="Q100" t="s">
        <v>26</v>
      </c>
      <c r="R100" s="7">
        <v>69122.100000000006</v>
      </c>
      <c r="S100" s="6">
        <f>R100*1000000/L100</f>
        <v>11201.593715370836</v>
      </c>
      <c r="T100" s="8">
        <f>LN(S100)</f>
        <v>9.323811343175322</v>
      </c>
      <c r="U100" s="3">
        <f>IF(B100=2020,"",IF(A100=A99,(S100/S99-1)*100,""))</f>
        <v>7.0405722097738543</v>
      </c>
    </row>
    <row r="101" spans="1:21">
      <c r="A101" t="s">
        <v>47</v>
      </c>
      <c r="B101" s="1">
        <v>2024</v>
      </c>
      <c r="C101" s="6">
        <v>7960</v>
      </c>
      <c r="D101" s="6">
        <v>24738</v>
      </c>
      <c r="E101" s="6">
        <v>2424</v>
      </c>
      <c r="F101" s="3">
        <v>0.12691</v>
      </c>
      <c r="G101" s="3">
        <v>12.690999999999999</v>
      </c>
      <c r="H101" s="1">
        <v>1</v>
      </c>
      <c r="I101" s="6">
        <v>103678</v>
      </c>
      <c r="J101" s="3">
        <v>9.4</v>
      </c>
      <c r="K101" s="3">
        <v>4.9000000000000004</v>
      </c>
      <c r="L101" s="2">
        <v>6206011</v>
      </c>
      <c r="M101" s="2">
        <v>1033741</v>
      </c>
      <c r="N101" s="3">
        <v>16.7</v>
      </c>
      <c r="O101" s="3">
        <v>6.3</v>
      </c>
      <c r="P101" s="1">
        <v>1</v>
      </c>
      <c r="Q101" t="s">
        <v>26</v>
      </c>
      <c r="R101" s="7">
        <v>74775.399999999994</v>
      </c>
      <c r="S101" s="6">
        <f>R101*1000000/L101</f>
        <v>12048.866816381731</v>
      </c>
      <c r="T101" s="8">
        <f>LN(S101)</f>
        <v>9.3967258943624543</v>
      </c>
      <c r="U101" s="3">
        <f>IF(B101=2020,"",IF(A101=A100,(S101/S100-1)*100,""))</f>
        <v>7.5638620944470158</v>
      </c>
    </row>
    <row r="102" spans="1:21">
      <c r="A102" t="s">
        <v>48</v>
      </c>
      <c r="B102" s="1">
        <v>2020</v>
      </c>
      <c r="C102" s="6">
        <v>7452</v>
      </c>
      <c r="D102" s="6">
        <v>21965</v>
      </c>
      <c r="E102" s="6">
        <v>2700</v>
      </c>
      <c r="F102" s="3">
        <v>0.15257999999999999</v>
      </c>
      <c r="G102" s="3">
        <v>15.257999999999999</v>
      </c>
      <c r="H102" s="1">
        <v>1</v>
      </c>
      <c r="I102" s="6">
        <v>84385</v>
      </c>
      <c r="J102" s="3">
        <v>9.8000000000000007</v>
      </c>
      <c r="K102" s="3">
        <v>5.0999999999999996</v>
      </c>
      <c r="L102" s="2">
        <v>6873003</v>
      </c>
      <c r="M102" s="2">
        <v>1136566</v>
      </c>
      <c r="N102" s="3">
        <v>16.5</v>
      </c>
      <c r="O102" s="3">
        <v>2.7</v>
      </c>
      <c r="P102" s="1">
        <v>1</v>
      </c>
      <c r="Q102" t="s">
        <v>26</v>
      </c>
      <c r="R102" s="7">
        <v>78082.3</v>
      </c>
      <c r="S102" s="6">
        <f>R102*1000000/L102</f>
        <v>11360.725435446486</v>
      </c>
      <c r="T102" s="8">
        <f>LN(S102)</f>
        <v>9.337917548990351</v>
      </c>
      <c r="U102" s="3" t="str">
        <f>IF(B102=2020,"",IF(A102=A101,(S102/S101-1)*100,""))</f>
        <v/>
      </c>
    </row>
    <row r="103" spans="1:21">
      <c r="A103" t="s">
        <v>48</v>
      </c>
      <c r="B103" s="1">
        <v>2021</v>
      </c>
      <c r="C103" s="6">
        <v>8088</v>
      </c>
      <c r="D103" s="6">
        <v>22163</v>
      </c>
      <c r="E103" s="6">
        <v>2672</v>
      </c>
      <c r="F103" s="3">
        <v>0.17827999999999999</v>
      </c>
      <c r="G103" s="3">
        <v>17.827999999999999</v>
      </c>
      <c r="H103" s="1">
        <v>1</v>
      </c>
      <c r="I103" s="6">
        <v>89026</v>
      </c>
      <c r="J103" s="3">
        <v>9.9</v>
      </c>
      <c r="K103" s="3">
        <v>5.4</v>
      </c>
      <c r="L103" s="2">
        <v>6991852</v>
      </c>
      <c r="M103" s="2">
        <v>1156031</v>
      </c>
      <c r="N103" s="3">
        <v>16.5</v>
      </c>
      <c r="O103" s="3">
        <v>2.8</v>
      </c>
      <c r="P103" s="1">
        <v>1</v>
      </c>
      <c r="Q103" t="s">
        <v>26</v>
      </c>
      <c r="R103" s="7">
        <v>86389.7</v>
      </c>
      <c r="S103" s="6">
        <f>R103*1000000/L103</f>
        <v>12355.767828037549</v>
      </c>
      <c r="T103" s="8">
        <f>LN(S103)</f>
        <v>9.4218782636415987</v>
      </c>
      <c r="U103" s="3">
        <f>IF(B103=2020,"",IF(A103=A102,(S103/S102-1)*100,""))</f>
        <v>8.7586166767699591</v>
      </c>
    </row>
    <row r="104" spans="1:21">
      <c r="A104" t="s">
        <v>48</v>
      </c>
      <c r="B104" s="1">
        <v>2022</v>
      </c>
      <c r="C104" s="6">
        <v>8054</v>
      </c>
      <c r="D104" s="6">
        <v>23348</v>
      </c>
      <c r="E104" s="6">
        <v>2700</v>
      </c>
      <c r="F104" s="3">
        <v>0.14957999999999999</v>
      </c>
      <c r="G104" s="3">
        <v>14.957999999999998</v>
      </c>
      <c r="H104" s="1">
        <v>1</v>
      </c>
      <c r="I104" s="6">
        <v>96505</v>
      </c>
      <c r="J104" s="3">
        <v>9.9</v>
      </c>
      <c r="K104" s="3">
        <v>5.3</v>
      </c>
      <c r="L104" s="2">
        <v>6984205</v>
      </c>
      <c r="M104" s="2">
        <v>1195589</v>
      </c>
      <c r="N104" s="3">
        <v>17.100000000000001</v>
      </c>
      <c r="O104" s="3">
        <v>2.7</v>
      </c>
      <c r="P104" s="1">
        <v>1</v>
      </c>
      <c r="Q104" t="s">
        <v>26</v>
      </c>
      <c r="R104" s="7">
        <v>91045.7</v>
      </c>
      <c r="S104" s="6">
        <f>R104*1000000/L104</f>
        <v>13035.943246224875</v>
      </c>
      <c r="T104" s="8">
        <f>LN(S104)</f>
        <v>9.4754656863291409</v>
      </c>
      <c r="U104" s="3">
        <f>IF(B104=2020,"",IF(A104=A103,(S104/S103-1)*100,""))</f>
        <v>5.5049222974543177</v>
      </c>
    </row>
    <row r="105" spans="1:21">
      <c r="A105" t="s">
        <v>48</v>
      </c>
      <c r="B105" s="1">
        <v>2023</v>
      </c>
      <c r="C105" s="6">
        <v>9513</v>
      </c>
      <c r="D105" s="6">
        <v>26355</v>
      </c>
      <c r="E105" s="6">
        <v>2900</v>
      </c>
      <c r="F105" s="3">
        <v>0.14674000000000001</v>
      </c>
      <c r="G105" s="3">
        <v>14.674000000000001</v>
      </c>
      <c r="H105" s="1">
        <v>1</v>
      </c>
      <c r="I105" s="6">
        <v>101341</v>
      </c>
      <c r="J105" s="3">
        <v>10</v>
      </c>
      <c r="K105" s="3">
        <v>5.0999999999999996</v>
      </c>
      <c r="L105" s="2">
        <v>6992395</v>
      </c>
      <c r="M105" s="2">
        <v>1221349</v>
      </c>
      <c r="N105" s="3">
        <v>17.5</v>
      </c>
      <c r="O105" s="3">
        <v>2.6</v>
      </c>
      <c r="P105" s="1">
        <v>1</v>
      </c>
      <c r="Q105" t="s">
        <v>26</v>
      </c>
      <c r="R105" s="7">
        <v>97838</v>
      </c>
      <c r="S105" s="6">
        <f>R105*1000000/L105</f>
        <v>13992.058515000941</v>
      </c>
      <c r="T105" s="8">
        <f>LN(S105)</f>
        <v>9.5462451987223513</v>
      </c>
      <c r="U105" s="3">
        <f>IF(B105=2020,"",IF(A105=A104,(S105/S104-1)*100,""))</f>
        <v>7.3344540607213071</v>
      </c>
    </row>
    <row r="106" spans="1:21">
      <c r="A106" t="s">
        <v>48</v>
      </c>
      <c r="B106" s="1">
        <v>2024</v>
      </c>
      <c r="C106" s="6">
        <v>9412</v>
      </c>
      <c r="D106" s="6">
        <v>28151</v>
      </c>
      <c r="E106" s="6">
        <v>3250</v>
      </c>
      <c r="F106" s="3">
        <v>0.16027</v>
      </c>
      <c r="G106" s="3">
        <v>16.027000000000001</v>
      </c>
      <c r="H106" s="1">
        <v>1</v>
      </c>
      <c r="I106" s="6">
        <v>103960</v>
      </c>
      <c r="J106" s="3">
        <v>10</v>
      </c>
      <c r="K106" s="3">
        <v>5.2</v>
      </c>
      <c r="L106" s="2">
        <v>7044056</v>
      </c>
      <c r="M106" s="2">
        <v>1258273</v>
      </c>
      <c r="N106" s="3">
        <v>17.899999999999999</v>
      </c>
      <c r="O106" s="3">
        <v>2.6</v>
      </c>
      <c r="P106" s="1">
        <v>1</v>
      </c>
      <c r="Q106" t="s">
        <v>26</v>
      </c>
      <c r="R106" s="7">
        <v>104847.7</v>
      </c>
      <c r="S106" s="6">
        <f>R106*1000000/L106</f>
        <v>14884.563666160519</v>
      </c>
      <c r="T106" s="8">
        <f>LN(S106)</f>
        <v>9.6080799593595252</v>
      </c>
      <c r="U106" s="3">
        <f>IF(B106=2020,"",IF(A106=A105,(S106/S105-1)*100,""))</f>
        <v>6.3786550792559904</v>
      </c>
    </row>
    <row r="107" spans="1:21">
      <c r="A107" t="s">
        <v>49</v>
      </c>
      <c r="B107" s="1">
        <v>2020</v>
      </c>
      <c r="C107" s="6">
        <v>6683</v>
      </c>
      <c r="D107" s="6">
        <v>20008</v>
      </c>
      <c r="E107" s="6">
        <v>2000</v>
      </c>
      <c r="F107" s="3">
        <v>0.15534999999999999</v>
      </c>
      <c r="G107" s="3">
        <v>15.534999999999998</v>
      </c>
      <c r="H107" s="1">
        <v>1</v>
      </c>
      <c r="I107" s="6">
        <v>59234</v>
      </c>
      <c r="J107" s="3">
        <v>13.7</v>
      </c>
      <c r="K107" s="3">
        <v>6</v>
      </c>
      <c r="L107" s="2">
        <v>9973907</v>
      </c>
      <c r="M107" s="2">
        <v>1712841</v>
      </c>
      <c r="N107" s="3">
        <v>17.2</v>
      </c>
      <c r="O107" s="3">
        <v>5.4</v>
      </c>
      <c r="P107" s="1">
        <v>1</v>
      </c>
      <c r="Q107" t="s">
        <v>50</v>
      </c>
      <c r="R107" s="7">
        <v>85460.7</v>
      </c>
      <c r="S107" s="6">
        <f>R107*1000000/L107</f>
        <v>8568.427598131806</v>
      </c>
      <c r="T107" s="8">
        <f>LN(S107)</f>
        <v>9.0558395172935757</v>
      </c>
      <c r="U107" s="3" t="str">
        <f>IF(B107=2020,"",IF(A107=A106,(S107/S106-1)*100,""))</f>
        <v/>
      </c>
    </row>
    <row r="108" spans="1:21">
      <c r="A108" t="s">
        <v>49</v>
      </c>
      <c r="B108" s="1">
        <v>2021</v>
      </c>
      <c r="C108" s="6">
        <v>7204</v>
      </c>
      <c r="D108" s="6">
        <v>20142</v>
      </c>
      <c r="E108" s="6">
        <v>1830</v>
      </c>
      <c r="F108" s="3">
        <v>0.18339</v>
      </c>
      <c r="G108" s="3">
        <v>18.338999999999999</v>
      </c>
      <c r="H108" s="1">
        <v>1</v>
      </c>
      <c r="I108" s="6">
        <v>63202</v>
      </c>
      <c r="J108" s="3">
        <v>13.3</v>
      </c>
      <c r="K108" s="3">
        <v>6.2</v>
      </c>
      <c r="L108" s="2">
        <v>10062512</v>
      </c>
      <c r="M108" s="2">
        <v>1733056</v>
      </c>
      <c r="N108" s="3">
        <v>17.2</v>
      </c>
      <c r="O108" s="3">
        <v>5.3</v>
      </c>
      <c r="P108" s="1">
        <v>1</v>
      </c>
      <c r="Q108" t="s">
        <v>50</v>
      </c>
      <c r="R108" s="7">
        <v>93239.6</v>
      </c>
      <c r="S108" s="6">
        <f>R108*1000000/L108</f>
        <v>9266.0361547891825</v>
      </c>
      <c r="T108" s="8">
        <f>LN(S108)</f>
        <v>9.1341109678456469</v>
      </c>
      <c r="U108" s="3">
        <f>IF(B108=2020,"",IF(A108=A107,(S108/S107-1)*100,""))</f>
        <v>8.1416169847718258</v>
      </c>
    </row>
    <row r="109" spans="1:21">
      <c r="A109" t="s">
        <v>49</v>
      </c>
      <c r="B109" s="1">
        <v>2022</v>
      </c>
      <c r="C109" s="6">
        <v>7276</v>
      </c>
      <c r="D109" s="6">
        <v>20175</v>
      </c>
      <c r="E109" s="6">
        <v>2300</v>
      </c>
      <c r="F109" s="3">
        <v>0.18140000000000001</v>
      </c>
      <c r="G109" s="3">
        <v>18.14</v>
      </c>
      <c r="H109" s="1">
        <v>1</v>
      </c>
      <c r="I109" s="6">
        <v>68505</v>
      </c>
      <c r="J109" s="3">
        <v>13.1</v>
      </c>
      <c r="K109" s="3">
        <v>6</v>
      </c>
      <c r="L109" s="2">
        <v>10057921</v>
      </c>
      <c r="M109" s="2">
        <v>1786825</v>
      </c>
      <c r="N109" s="3">
        <v>17.8</v>
      </c>
      <c r="O109" s="3">
        <v>5.2</v>
      </c>
      <c r="P109" s="1">
        <v>1</v>
      </c>
      <c r="Q109" t="s">
        <v>50</v>
      </c>
      <c r="R109" s="7">
        <v>97843.3</v>
      </c>
      <c r="S109" s="6">
        <f>R109*1000000/L109</f>
        <v>9727.9845407415705</v>
      </c>
      <c r="T109" s="8">
        <f>LN(S109)</f>
        <v>9.1827620150539424</v>
      </c>
      <c r="U109" s="3">
        <f>IF(B109=2020,"",IF(A109=A108,(S109/S108-1)*100,""))</f>
        <v>4.9853937350938127</v>
      </c>
    </row>
    <row r="110" spans="1:21">
      <c r="A110" t="s">
        <v>49</v>
      </c>
      <c r="B110" s="1">
        <v>2023</v>
      </c>
      <c r="C110" s="6">
        <v>7775</v>
      </c>
      <c r="D110" s="6">
        <v>22718</v>
      </c>
      <c r="E110" s="6">
        <v>2328</v>
      </c>
      <c r="F110" s="3">
        <v>0.15834000000000001</v>
      </c>
      <c r="G110" s="3">
        <v>15.834000000000001</v>
      </c>
      <c r="H110" s="1">
        <v>1</v>
      </c>
      <c r="I110" s="6">
        <v>71149</v>
      </c>
      <c r="J110" s="3">
        <v>13.1</v>
      </c>
      <c r="K110" s="3">
        <v>5.8</v>
      </c>
      <c r="L110" s="2">
        <v>10051595</v>
      </c>
      <c r="M110" s="2">
        <v>1824907</v>
      </c>
      <c r="N110" s="3">
        <v>18.2</v>
      </c>
      <c r="O110" s="3">
        <v>5</v>
      </c>
      <c r="P110" s="1">
        <v>1</v>
      </c>
      <c r="Q110" t="s">
        <v>50</v>
      </c>
      <c r="R110" s="7">
        <v>104582.5</v>
      </c>
      <c r="S110" s="6">
        <f>R110*1000000/L110</f>
        <v>10404.567633296008</v>
      </c>
      <c r="T110" s="8">
        <f>LN(S110)</f>
        <v>9.2500001842205783</v>
      </c>
      <c r="U110" s="3">
        <f>IF(B110=2020,"",IF(A110=A109,(S110/S109-1)*100,""))</f>
        <v>6.9550181717585424</v>
      </c>
    </row>
    <row r="111" spans="1:21">
      <c r="A111" t="s">
        <v>49</v>
      </c>
      <c r="B111" s="1">
        <v>2024</v>
      </c>
      <c r="C111" s="6">
        <v>8885</v>
      </c>
      <c r="D111" s="6">
        <v>24252</v>
      </c>
      <c r="E111" s="6">
        <v>2000</v>
      </c>
      <c r="F111" s="3">
        <v>0.14496000000000001</v>
      </c>
      <c r="G111" s="3">
        <v>14.496</v>
      </c>
      <c r="H111" s="1">
        <v>1</v>
      </c>
      <c r="I111" s="6">
        <v>72875</v>
      </c>
      <c r="J111" s="3">
        <v>13.2</v>
      </c>
      <c r="K111" s="3">
        <v>5.7</v>
      </c>
      <c r="L111" s="2">
        <v>10077761</v>
      </c>
      <c r="M111" s="2">
        <v>1876266</v>
      </c>
      <c r="N111" s="3">
        <v>18.600000000000001</v>
      </c>
      <c r="O111" s="3">
        <v>4.9000000000000004</v>
      </c>
      <c r="P111" s="1">
        <v>1</v>
      </c>
      <c r="Q111" t="s">
        <v>50</v>
      </c>
      <c r="R111" s="7">
        <v>113231.1</v>
      </c>
      <c r="S111" s="6">
        <f>R111*1000000/L111</f>
        <v>11235.739764020997</v>
      </c>
      <c r="T111" s="8">
        <f>LN(S111)</f>
        <v>9.3268550270464292</v>
      </c>
      <c r="U111" s="3">
        <f>IF(B111=2020,"",IF(A111=A110,(S111/S110-1)*100,""))</f>
        <v>7.9885311914848378</v>
      </c>
    </row>
    <row r="112" spans="1:21">
      <c r="A112" t="s">
        <v>51</v>
      </c>
      <c r="B112" s="1">
        <v>2020</v>
      </c>
      <c r="C112" s="6">
        <v>6910</v>
      </c>
      <c r="D112" s="6">
        <v>20624</v>
      </c>
      <c r="E112" s="6">
        <v>3750</v>
      </c>
      <c r="F112" s="3">
        <v>0.20346</v>
      </c>
      <c r="G112" s="3">
        <v>20.346</v>
      </c>
      <c r="H112" s="1">
        <v>1</v>
      </c>
      <c r="I112" s="6">
        <v>73382</v>
      </c>
      <c r="J112" s="3">
        <v>9.3000000000000007</v>
      </c>
      <c r="K112" s="3">
        <v>3.8</v>
      </c>
      <c r="L112" s="2">
        <v>5600166</v>
      </c>
      <c r="M112" s="2">
        <v>887576</v>
      </c>
      <c r="N112" s="3">
        <v>15.8</v>
      </c>
      <c r="O112" s="3">
        <v>4.5</v>
      </c>
      <c r="P112" s="1">
        <v>1</v>
      </c>
      <c r="Q112" t="s">
        <v>26</v>
      </c>
      <c r="R112" s="7">
        <v>52055.199999999997</v>
      </c>
      <c r="S112" s="6">
        <f>R112*1000000/L112</f>
        <v>9295.2958894432777</v>
      </c>
      <c r="T112" s="8">
        <f>LN(S112)</f>
        <v>9.1372637328326647</v>
      </c>
      <c r="U112" s="3" t="str">
        <f>IF(B112=2020,"",IF(A112=A111,(S112/S111-1)*100,""))</f>
        <v/>
      </c>
    </row>
    <row r="113" spans="1:21">
      <c r="A113" t="s">
        <v>51</v>
      </c>
      <c r="B113" s="1">
        <v>2021</v>
      </c>
      <c r="C113" s="6">
        <v>7448</v>
      </c>
      <c r="D113" s="6">
        <v>21327</v>
      </c>
      <c r="E113" s="6">
        <v>3000</v>
      </c>
      <c r="F113" s="3">
        <v>0.17038</v>
      </c>
      <c r="G113" s="3">
        <v>17.038</v>
      </c>
      <c r="H113" s="1">
        <v>1</v>
      </c>
      <c r="I113" s="6">
        <v>77706</v>
      </c>
      <c r="J113" s="3">
        <v>9.1999999999999993</v>
      </c>
      <c r="K113" s="3">
        <v>4</v>
      </c>
      <c r="L113" s="2">
        <v>5670472</v>
      </c>
      <c r="M113" s="2">
        <v>901517</v>
      </c>
      <c r="N113" s="3">
        <v>15.9</v>
      </c>
      <c r="O113" s="3">
        <v>4.5999999999999996</v>
      </c>
      <c r="P113" s="1">
        <v>1</v>
      </c>
      <c r="Q113" t="s">
        <v>26</v>
      </c>
      <c r="R113" s="7">
        <v>57739.1</v>
      </c>
      <c r="S113" s="6">
        <f>R113*1000000/L113</f>
        <v>10182.4151499205</v>
      </c>
      <c r="T113" s="8">
        <f>LN(S113)</f>
        <v>9.2284175065559069</v>
      </c>
      <c r="U113" s="3">
        <f>IF(B113=2020,"",IF(A113=A112,(S113/S112-1)*100,""))</f>
        <v>9.5437441801581535</v>
      </c>
    </row>
    <row r="114" spans="1:21">
      <c r="A114" t="s">
        <v>51</v>
      </c>
      <c r="B114" s="1">
        <v>2022</v>
      </c>
      <c r="C114" s="6">
        <v>7526</v>
      </c>
      <c r="D114" s="6">
        <v>22934</v>
      </c>
      <c r="E114" s="6">
        <v>3200</v>
      </c>
      <c r="F114" s="3">
        <v>0.19066</v>
      </c>
      <c r="G114" s="3">
        <v>19.065999999999999</v>
      </c>
      <c r="H114" s="1">
        <v>1</v>
      </c>
      <c r="I114" s="6">
        <v>84313</v>
      </c>
      <c r="J114" s="3">
        <v>9.3000000000000007</v>
      </c>
      <c r="K114" s="3">
        <v>4</v>
      </c>
      <c r="L114" s="2">
        <v>5695292</v>
      </c>
      <c r="M114" s="2">
        <v>939396</v>
      </c>
      <c r="N114" s="3">
        <v>16.5</v>
      </c>
      <c r="O114" s="3">
        <v>4.5999999999999996</v>
      </c>
      <c r="P114" s="1">
        <v>1</v>
      </c>
      <c r="Q114" t="s">
        <v>26</v>
      </c>
      <c r="R114" s="7">
        <v>60945.3</v>
      </c>
      <c r="S114" s="6">
        <f>R114*1000000/L114</f>
        <v>10700.996542407307</v>
      </c>
      <c r="T114" s="8">
        <f>LN(S114)</f>
        <v>9.2780921509176419</v>
      </c>
      <c r="U114" s="3">
        <f>IF(B114=2020,"",IF(A114=A113,(S114/S113-1)*100,""))</f>
        <v>5.0929115033269579</v>
      </c>
    </row>
    <row r="115" spans="1:21">
      <c r="A115" t="s">
        <v>51</v>
      </c>
      <c r="B115" s="1">
        <v>2023</v>
      </c>
      <c r="C115" s="6">
        <v>8355</v>
      </c>
      <c r="D115" s="6">
        <v>25212</v>
      </c>
      <c r="E115" s="6">
        <v>2700</v>
      </c>
      <c r="F115" s="3">
        <v>0.17297000000000001</v>
      </c>
      <c r="G115" s="3">
        <v>17.297000000000001</v>
      </c>
      <c r="H115" s="1">
        <v>1</v>
      </c>
      <c r="I115" s="6">
        <v>87556</v>
      </c>
      <c r="J115" s="3">
        <v>9.1999999999999993</v>
      </c>
      <c r="K115" s="3">
        <v>3.9</v>
      </c>
      <c r="L115" s="2">
        <v>5713716</v>
      </c>
      <c r="M115" s="2">
        <v>962143</v>
      </c>
      <c r="N115" s="3">
        <v>16.8</v>
      </c>
      <c r="O115" s="3">
        <v>4.5999999999999996</v>
      </c>
      <c r="P115" s="1">
        <v>1</v>
      </c>
      <c r="Q115" t="s">
        <v>26</v>
      </c>
      <c r="R115" s="7">
        <v>66265.7</v>
      </c>
      <c r="S115" s="6">
        <f>R115*1000000/L115</f>
        <v>11597.653786082472</v>
      </c>
      <c r="T115" s="8">
        <f>LN(S115)</f>
        <v>9.3585580968167026</v>
      </c>
      <c r="U115" s="3">
        <f>IF(B115=2020,"",IF(A115=A114,(S115/S114-1)*100,""))</f>
        <v>8.3791938453748216</v>
      </c>
    </row>
    <row r="116" spans="1:21">
      <c r="A116" t="s">
        <v>51</v>
      </c>
      <c r="B116" s="1">
        <v>2024</v>
      </c>
      <c r="C116" s="6">
        <v>8095</v>
      </c>
      <c r="D116" s="6">
        <v>23565</v>
      </c>
      <c r="E116" s="6">
        <v>3500</v>
      </c>
      <c r="F116" s="3">
        <v>0.17127000000000001</v>
      </c>
      <c r="G116" s="3">
        <v>17.126999999999999</v>
      </c>
      <c r="H116" s="1">
        <v>1</v>
      </c>
      <c r="I116" s="6">
        <v>89062</v>
      </c>
      <c r="J116" s="3">
        <v>9.3000000000000007</v>
      </c>
      <c r="K116" s="3">
        <v>4.0999999999999996</v>
      </c>
      <c r="L116" s="2">
        <v>5739445</v>
      </c>
      <c r="M116" s="2">
        <v>992385</v>
      </c>
      <c r="N116" s="3">
        <v>17.3</v>
      </c>
      <c r="O116" s="3">
        <v>4.7</v>
      </c>
      <c r="P116" s="1">
        <v>1</v>
      </c>
      <c r="Q116" t="s">
        <v>26</v>
      </c>
      <c r="R116" s="7">
        <v>71680.7</v>
      </c>
      <c r="S116" s="6">
        <f>R116*1000000/L116</f>
        <v>12489.134402368174</v>
      </c>
      <c r="T116" s="8">
        <f>LN(S116)</f>
        <v>9.4326142974648928</v>
      </c>
      <c r="U116" s="3">
        <f>IF(B116=2020,"",IF(A116=A115,(S116/S115-1)*100,""))</f>
        <v>7.6867324437249973</v>
      </c>
    </row>
    <row r="117" spans="1:21">
      <c r="A117" t="s">
        <v>52</v>
      </c>
      <c r="B117" s="1">
        <v>2020</v>
      </c>
      <c r="C117" s="6">
        <v>6561</v>
      </c>
      <c r="D117" s="6">
        <v>19058</v>
      </c>
      <c r="E117" s="6">
        <v>1100</v>
      </c>
      <c r="F117" s="3">
        <v>0.20361000000000001</v>
      </c>
      <c r="G117" s="3">
        <v>20.361000000000001</v>
      </c>
      <c r="H117" s="1">
        <v>1</v>
      </c>
      <c r="I117" s="6">
        <v>46511</v>
      </c>
      <c r="J117" s="3">
        <v>19.600000000000001</v>
      </c>
      <c r="K117" s="3">
        <v>7.1</v>
      </c>
      <c r="L117" s="2">
        <v>2981835</v>
      </c>
      <c r="M117" s="2">
        <v>474270</v>
      </c>
      <c r="N117" s="3">
        <v>15.9</v>
      </c>
      <c r="O117" s="3">
        <v>12</v>
      </c>
      <c r="P117" s="1">
        <v>0</v>
      </c>
      <c r="Q117" t="s">
        <v>22</v>
      </c>
      <c r="R117" s="7">
        <v>24184.6</v>
      </c>
      <c r="S117" s="6">
        <f>R117*1000000/L117</f>
        <v>8110.6432783839482</v>
      </c>
      <c r="T117" s="8">
        <f>LN(S117)</f>
        <v>9.0009324631234104</v>
      </c>
      <c r="U117" s="3" t="str">
        <f>IF(B117=2020,"",IF(A117=A116,(S117/S116-1)*100,""))</f>
        <v/>
      </c>
    </row>
    <row r="118" spans="1:21">
      <c r="A118" t="s">
        <v>52</v>
      </c>
      <c r="B118" s="1">
        <v>2021</v>
      </c>
      <c r="C118" s="6">
        <v>7008</v>
      </c>
      <c r="D118" s="6">
        <v>20373</v>
      </c>
      <c r="E118" s="6">
        <v>1200</v>
      </c>
      <c r="F118" s="3">
        <v>0.17846000000000001</v>
      </c>
      <c r="G118" s="3">
        <v>17.846</v>
      </c>
      <c r="H118" s="1">
        <v>1</v>
      </c>
      <c r="I118" s="6">
        <v>49111</v>
      </c>
      <c r="J118" s="3">
        <v>19.399999999999999</v>
      </c>
      <c r="K118" s="3">
        <v>6.8</v>
      </c>
      <c r="L118" s="2">
        <v>2967023</v>
      </c>
      <c r="M118" s="2">
        <v>472931</v>
      </c>
      <c r="N118" s="3">
        <v>15.9</v>
      </c>
      <c r="O118" s="3">
        <v>12.1</v>
      </c>
      <c r="P118" s="1">
        <v>0</v>
      </c>
      <c r="Q118" t="s">
        <v>22</v>
      </c>
      <c r="R118" s="7">
        <v>26308.6</v>
      </c>
      <c r="S118" s="6">
        <f>R118*1000000/L118</f>
        <v>8867.0023791524363</v>
      </c>
      <c r="T118" s="8">
        <f>LN(S118)</f>
        <v>9.0900920676953465</v>
      </c>
      <c r="U118" s="3">
        <f>IF(B118=2020,"",IF(A118=A117,(S118/S117-1)*100,""))</f>
        <v>9.325513091967629</v>
      </c>
    </row>
    <row r="119" spans="1:21">
      <c r="A119" t="s">
        <v>52</v>
      </c>
      <c r="B119" s="1">
        <v>2022</v>
      </c>
      <c r="C119" s="6">
        <v>6726</v>
      </c>
      <c r="D119" s="6">
        <v>20410</v>
      </c>
      <c r="E119" s="6">
        <v>1200</v>
      </c>
      <c r="F119" s="3">
        <v>0.18045</v>
      </c>
      <c r="G119" s="3">
        <v>18.045000000000002</v>
      </c>
      <c r="H119" s="1">
        <v>1</v>
      </c>
      <c r="I119" s="6">
        <v>52985</v>
      </c>
      <c r="J119" s="3">
        <v>19.2</v>
      </c>
      <c r="K119" s="3">
        <v>6.4</v>
      </c>
      <c r="L119" s="2">
        <v>2958846</v>
      </c>
      <c r="M119" s="2">
        <v>487750</v>
      </c>
      <c r="N119" s="3">
        <v>16.5</v>
      </c>
      <c r="O119" s="3">
        <v>11.8</v>
      </c>
      <c r="P119" s="1">
        <v>0</v>
      </c>
      <c r="Q119" t="s">
        <v>22</v>
      </c>
      <c r="R119" s="7">
        <v>27491.1</v>
      </c>
      <c r="S119" s="6">
        <f>R119*1000000/L119</f>
        <v>9291.156079092998</v>
      </c>
      <c r="T119" s="8">
        <f>LN(S119)</f>
        <v>9.1368182674554372</v>
      </c>
      <c r="U119" s="3">
        <f>IF(B119=2020,"",IF(A119=A118,(S119/S118-1)*100,""))</f>
        <v>4.7835072305586257</v>
      </c>
    </row>
    <row r="120" spans="1:21">
      <c r="A120" t="s">
        <v>52</v>
      </c>
      <c r="B120" s="1">
        <v>2023</v>
      </c>
      <c r="C120" s="6">
        <v>7243</v>
      </c>
      <c r="D120" s="6">
        <v>21939</v>
      </c>
      <c r="E120" s="6">
        <v>1200</v>
      </c>
      <c r="F120" s="3">
        <v>0.18606</v>
      </c>
      <c r="G120" s="3">
        <v>18.606000000000002</v>
      </c>
      <c r="H120" s="1">
        <v>1</v>
      </c>
      <c r="I120" s="6">
        <v>54915</v>
      </c>
      <c r="J120" s="3">
        <v>19.100000000000001</v>
      </c>
      <c r="K120" s="3">
        <v>6</v>
      </c>
      <c r="L120" s="2">
        <v>2951438</v>
      </c>
      <c r="M120" s="2">
        <v>495115</v>
      </c>
      <c r="N120" s="3">
        <v>16.8</v>
      </c>
      <c r="O120" s="3">
        <v>11.6</v>
      </c>
      <c r="P120" s="1">
        <v>0</v>
      </c>
      <c r="Q120" t="s">
        <v>22</v>
      </c>
      <c r="R120" s="7">
        <v>29070</v>
      </c>
      <c r="S120" s="6">
        <f>R120*1000000/L120</f>
        <v>9849.4361053832072</v>
      </c>
      <c r="T120" s="8">
        <f>LN(S120)</f>
        <v>9.1951694843429479</v>
      </c>
      <c r="U120" s="3">
        <f>IF(B120=2020,"",IF(A120=A119,(S120/S119-1)*100,""))</f>
        <v>6.0087250880054954</v>
      </c>
    </row>
    <row r="121" spans="1:21">
      <c r="A121" t="s">
        <v>52</v>
      </c>
      <c r="B121" s="1">
        <v>2024</v>
      </c>
      <c r="C121" s="6">
        <v>7564</v>
      </c>
      <c r="D121" s="6">
        <v>22271</v>
      </c>
      <c r="E121" s="6">
        <v>1000</v>
      </c>
      <c r="F121" s="3">
        <v>0.18587999999999999</v>
      </c>
      <c r="G121" s="3">
        <v>18.587999999999997</v>
      </c>
      <c r="H121" s="1">
        <v>1</v>
      </c>
      <c r="I121" s="6">
        <v>56447</v>
      </c>
      <c r="J121" s="3">
        <v>18.899999999999999</v>
      </c>
      <c r="K121" s="3">
        <v>5.8</v>
      </c>
      <c r="L121" s="2">
        <v>2946779</v>
      </c>
      <c r="M121" s="2">
        <v>505839</v>
      </c>
      <c r="N121" s="3">
        <v>17.2</v>
      </c>
      <c r="O121" s="3">
        <v>11</v>
      </c>
      <c r="P121" s="1">
        <v>0</v>
      </c>
      <c r="Q121" t="s">
        <v>22</v>
      </c>
      <c r="R121" s="7">
        <v>30815.8</v>
      </c>
      <c r="S121" s="6">
        <f>R121*1000000/L121</f>
        <v>10457.45201794909</v>
      </c>
      <c r="T121" s="8">
        <f>LN(S121)</f>
        <v>9.2550701150150392</v>
      </c>
      <c r="U121" s="3">
        <f>IF(B121=2020,"",IF(A121=A120,(S121/S120-1)*100,""))</f>
        <v>6.1731037803633537</v>
      </c>
    </row>
    <row r="122" spans="1:21">
      <c r="A122" t="s">
        <v>53</v>
      </c>
      <c r="B122" s="1">
        <v>2020</v>
      </c>
      <c r="C122" s="6">
        <v>7179</v>
      </c>
      <c r="D122" s="6">
        <v>21231</v>
      </c>
      <c r="E122" s="6">
        <v>2292</v>
      </c>
      <c r="F122" s="3">
        <v>0.18858</v>
      </c>
      <c r="G122" s="3">
        <v>18.858000000000001</v>
      </c>
      <c r="H122" s="1">
        <v>1</v>
      </c>
      <c r="I122" s="6">
        <v>57290</v>
      </c>
      <c r="J122" s="3">
        <v>13</v>
      </c>
      <c r="K122" s="3">
        <v>4.5</v>
      </c>
      <c r="L122" s="2">
        <v>6124160</v>
      </c>
      <c r="M122" s="2">
        <v>1033384</v>
      </c>
      <c r="N122" s="3">
        <v>16.899999999999999</v>
      </c>
      <c r="O122" s="3">
        <v>9.4</v>
      </c>
      <c r="P122" s="1">
        <v>0</v>
      </c>
      <c r="Q122" t="s">
        <v>54</v>
      </c>
      <c r="R122" s="7">
        <v>54310.3</v>
      </c>
      <c r="S122" s="6">
        <f>R122*1000000/L122</f>
        <v>8868.2039659316542</v>
      </c>
      <c r="T122" s="8">
        <f>LN(S122)</f>
        <v>9.0902275706895246</v>
      </c>
      <c r="U122" s="3" t="str">
        <f>IF(B122=2020,"",IF(A122=A121,(S122/S121-1)*100,""))</f>
        <v/>
      </c>
    </row>
    <row r="123" spans="1:21">
      <c r="A123" t="s">
        <v>53</v>
      </c>
      <c r="B123" s="1">
        <v>2021</v>
      </c>
      <c r="C123" s="6">
        <v>7239</v>
      </c>
      <c r="D123" s="6">
        <v>21827</v>
      </c>
      <c r="E123" s="6">
        <v>1900</v>
      </c>
      <c r="F123" s="3">
        <v>0.20175000000000001</v>
      </c>
      <c r="G123" s="3">
        <v>20.175000000000001</v>
      </c>
      <c r="H123" s="1">
        <v>1</v>
      </c>
      <c r="I123" s="6">
        <v>61043</v>
      </c>
      <c r="J123" s="3">
        <v>12.8</v>
      </c>
      <c r="K123" s="3">
        <v>4.5</v>
      </c>
      <c r="L123" s="2">
        <v>6141534</v>
      </c>
      <c r="M123" s="2">
        <v>1033836</v>
      </c>
      <c r="N123" s="3">
        <v>16.8</v>
      </c>
      <c r="O123" s="3">
        <v>9.5</v>
      </c>
      <c r="P123" s="1">
        <v>1</v>
      </c>
      <c r="Q123" t="s">
        <v>54</v>
      </c>
      <c r="R123" s="7">
        <v>59498.2</v>
      </c>
      <c r="S123" s="6">
        <f>R123*1000000/L123</f>
        <v>9687.840204092332</v>
      </c>
      <c r="T123" s="8">
        <f>LN(S123)</f>
        <v>9.1786267908867742</v>
      </c>
      <c r="U123" s="3">
        <f>IF(B123=2020,"",IF(A123=A122,(S123/S122-1)*100,""))</f>
        <v>9.2424152772017329</v>
      </c>
    </row>
    <row r="124" spans="1:21">
      <c r="A124" t="s">
        <v>53</v>
      </c>
      <c r="B124" s="1">
        <v>2022</v>
      </c>
      <c r="C124" s="6">
        <v>7737</v>
      </c>
      <c r="D124" s="6">
        <v>21824</v>
      </c>
      <c r="E124" s="6">
        <v>2300</v>
      </c>
      <c r="F124" s="3">
        <v>0.19263</v>
      </c>
      <c r="G124" s="3">
        <v>19.262999999999998</v>
      </c>
      <c r="H124" s="1">
        <v>1</v>
      </c>
      <c r="I124" s="6">
        <v>65920</v>
      </c>
      <c r="J124" s="3">
        <v>12.8</v>
      </c>
      <c r="K124" s="3">
        <v>4.3</v>
      </c>
      <c r="L124" s="2">
        <v>6154422</v>
      </c>
      <c r="M124" s="2">
        <v>1062483</v>
      </c>
      <c r="N124" s="3">
        <v>17.3</v>
      </c>
      <c r="O124" s="3">
        <v>9.5</v>
      </c>
      <c r="P124" s="1">
        <v>1</v>
      </c>
      <c r="Q124" t="s">
        <v>54</v>
      </c>
      <c r="R124" s="7">
        <v>63928.6</v>
      </c>
      <c r="S124" s="6">
        <f>R124*1000000/L124</f>
        <v>10387.425496659151</v>
      </c>
      <c r="T124" s="8">
        <f>LN(S124)</f>
        <v>9.2483512667345309</v>
      </c>
      <c r="U124" s="3">
        <f>IF(B124=2020,"",IF(A124=A123,(S124/S123-1)*100,""))</f>
        <v>7.2212720052019508</v>
      </c>
    </row>
    <row r="125" spans="1:21">
      <c r="A125" t="s">
        <v>53</v>
      </c>
      <c r="B125" s="1">
        <v>2023</v>
      </c>
      <c r="C125" s="6">
        <v>8230</v>
      </c>
      <c r="D125" s="6">
        <v>23387</v>
      </c>
      <c r="E125" s="6">
        <v>2100</v>
      </c>
      <c r="F125" s="3">
        <v>0.15465999999999999</v>
      </c>
      <c r="G125" s="3">
        <v>15.465999999999999</v>
      </c>
      <c r="H125" s="1">
        <v>1</v>
      </c>
      <c r="I125" s="6">
        <v>68920</v>
      </c>
      <c r="J125" s="3">
        <v>12.6</v>
      </c>
      <c r="K125" s="3">
        <v>4.0999999999999996</v>
      </c>
      <c r="L125" s="2">
        <v>6168181</v>
      </c>
      <c r="M125" s="2">
        <v>1079129</v>
      </c>
      <c r="N125" s="3">
        <v>17.5</v>
      </c>
      <c r="O125" s="3">
        <v>9.1999999999999993</v>
      </c>
      <c r="P125" s="1">
        <v>1</v>
      </c>
      <c r="Q125" t="s">
        <v>54</v>
      </c>
      <c r="R125" s="7">
        <v>71157.5</v>
      </c>
      <c r="S125" s="6">
        <f>R125*1000000/L125</f>
        <v>11536.221132291676</v>
      </c>
      <c r="T125" s="8">
        <f>LN(S125)</f>
        <v>9.353247028228985</v>
      </c>
      <c r="U125" s="3">
        <f>IF(B125=2020,"",IF(A125=A124,(S125/S124-1)*100,""))</f>
        <v>11.059483757568289</v>
      </c>
    </row>
    <row r="126" spans="1:21">
      <c r="A126" t="s">
        <v>53</v>
      </c>
      <c r="B126" s="1">
        <v>2024</v>
      </c>
      <c r="C126" s="6">
        <v>8552</v>
      </c>
      <c r="D126" s="6">
        <v>23831</v>
      </c>
      <c r="E126" s="6">
        <v>2550</v>
      </c>
      <c r="F126" s="3">
        <v>0.19398000000000001</v>
      </c>
      <c r="G126" s="3">
        <v>19.398</v>
      </c>
      <c r="H126" s="1">
        <v>1</v>
      </c>
      <c r="I126" s="6">
        <v>70702</v>
      </c>
      <c r="J126" s="3">
        <v>12.6</v>
      </c>
      <c r="K126" s="3">
        <v>4</v>
      </c>
      <c r="L126" s="2">
        <v>6191814</v>
      </c>
      <c r="M126" s="2">
        <v>1107743</v>
      </c>
      <c r="N126" s="3">
        <v>17.899999999999999</v>
      </c>
      <c r="O126" s="3">
        <v>8.8000000000000007</v>
      </c>
      <c r="P126" s="1">
        <v>1</v>
      </c>
      <c r="Q126" t="s">
        <v>54</v>
      </c>
      <c r="R126" s="7">
        <v>76741.2</v>
      </c>
      <c r="S126" s="6">
        <f>R126*1000000/L126</f>
        <v>12393.976950858019</v>
      </c>
      <c r="T126" s="8">
        <f>LN(S126)</f>
        <v>9.4249659038186948</v>
      </c>
      <c r="U126" s="3">
        <f>IF(B126=2020,"",IF(A126=A125,(S126/S125-1)*100,""))</f>
        <v>7.4353274675478698</v>
      </c>
    </row>
    <row r="127" spans="1:21">
      <c r="A127" t="s">
        <v>55</v>
      </c>
      <c r="B127" s="1">
        <v>2020</v>
      </c>
      <c r="C127" s="6">
        <v>6860</v>
      </c>
      <c r="D127" s="6">
        <v>19401</v>
      </c>
      <c r="E127" s="6">
        <v>2000</v>
      </c>
      <c r="F127" s="3">
        <v>0.19306000000000001</v>
      </c>
      <c r="G127" s="3">
        <v>19.306000000000001</v>
      </c>
      <c r="H127" s="1">
        <v>1</v>
      </c>
      <c r="I127" s="6">
        <v>56539</v>
      </c>
      <c r="J127" s="3">
        <v>12.8</v>
      </c>
      <c r="K127" s="3">
        <v>4.2</v>
      </c>
      <c r="L127" s="2">
        <v>1061705</v>
      </c>
      <c r="M127" s="2">
        <v>198119</v>
      </c>
      <c r="N127" s="3">
        <v>18.7</v>
      </c>
      <c r="O127" s="3">
        <v>8.4</v>
      </c>
      <c r="P127" s="1">
        <v>1</v>
      </c>
      <c r="Q127" t="s">
        <v>56</v>
      </c>
      <c r="R127" s="7">
        <v>9594</v>
      </c>
      <c r="S127" s="6">
        <f>R127*1000000/L127</f>
        <v>9036.4084185343381</v>
      </c>
      <c r="T127" s="8">
        <f>LN(S127)</f>
        <v>9.1090170756074329</v>
      </c>
      <c r="U127" s="3" t="str">
        <f>IF(B127=2020,"",IF(A127=A126,(S127/S126-1)*100,""))</f>
        <v/>
      </c>
    </row>
    <row r="128" spans="1:21">
      <c r="A128" t="s">
        <v>55</v>
      </c>
      <c r="B128" s="1">
        <v>2021</v>
      </c>
      <c r="C128" s="6">
        <v>7306</v>
      </c>
      <c r="D128" s="6">
        <v>20921</v>
      </c>
      <c r="E128" s="6">
        <v>2500</v>
      </c>
      <c r="F128" s="3">
        <v>0.20634</v>
      </c>
      <c r="G128" s="3">
        <v>20.634</v>
      </c>
      <c r="H128" s="1">
        <v>1</v>
      </c>
      <c r="I128" s="6">
        <v>60560</v>
      </c>
      <c r="J128" s="3">
        <v>12.5</v>
      </c>
      <c r="K128" s="3">
        <v>4.0999999999999996</v>
      </c>
      <c r="L128" s="2">
        <v>1077978</v>
      </c>
      <c r="M128" s="2">
        <v>202454</v>
      </c>
      <c r="N128" s="3">
        <v>18.8</v>
      </c>
      <c r="O128" s="3">
        <v>8.6</v>
      </c>
      <c r="P128" s="1">
        <v>1</v>
      </c>
      <c r="Q128" t="s">
        <v>56</v>
      </c>
      <c r="R128" s="7">
        <v>10734.4</v>
      </c>
      <c r="S128" s="6">
        <f>R128*1000000/L128</f>
        <v>9957.9026659171159</v>
      </c>
      <c r="T128" s="8">
        <f>LN(S128)</f>
        <v>9.206121752693333</v>
      </c>
      <c r="U128" s="3">
        <f>IF(B128=2020,"",IF(A128=A127,(S128/S127-1)*100,""))</f>
        <v>10.197571919090386</v>
      </c>
    </row>
    <row r="129" spans="1:21">
      <c r="A129" t="s">
        <v>55</v>
      </c>
      <c r="B129" s="1">
        <v>2022</v>
      </c>
      <c r="C129" s="6">
        <v>7759</v>
      </c>
      <c r="D129" s="6">
        <v>21322</v>
      </c>
      <c r="E129" s="6">
        <v>2000</v>
      </c>
      <c r="F129" s="3">
        <v>0.18951999999999999</v>
      </c>
      <c r="G129" s="3">
        <v>18.951999999999998</v>
      </c>
      <c r="H129" s="1">
        <v>1</v>
      </c>
      <c r="I129" s="6">
        <v>66341</v>
      </c>
      <c r="J129" s="3">
        <v>12.4</v>
      </c>
      <c r="K129" s="3">
        <v>3.9</v>
      </c>
      <c r="L129" s="2">
        <v>1091840</v>
      </c>
      <c r="M129" s="2">
        <v>211501</v>
      </c>
      <c r="N129" s="3">
        <v>19.399999999999999</v>
      </c>
      <c r="O129" s="3">
        <v>8.4</v>
      </c>
      <c r="P129" s="1">
        <v>1</v>
      </c>
      <c r="Q129" t="s">
        <v>56</v>
      </c>
      <c r="R129" s="7">
        <v>11384.8</v>
      </c>
      <c r="S129" s="6">
        <f>R129*1000000/L129</f>
        <v>10427.168815943727</v>
      </c>
      <c r="T129" s="8">
        <f>LN(S129)</f>
        <v>9.2521700649283822</v>
      </c>
      <c r="U129" s="3">
        <f>IF(B129=2020,"",IF(A129=A128,(S129/S128-1)*100,""))</f>
        <v>4.7124998683986563</v>
      </c>
    </row>
    <row r="130" spans="1:21">
      <c r="A130" t="s">
        <v>55</v>
      </c>
      <c r="B130" s="1">
        <v>2023</v>
      </c>
      <c r="C130" s="6">
        <v>7821</v>
      </c>
      <c r="D130" s="6">
        <v>22771</v>
      </c>
      <c r="E130" s="6">
        <v>2700</v>
      </c>
      <c r="F130" s="3">
        <v>0.17852999999999999</v>
      </c>
      <c r="G130" s="3">
        <v>17.852999999999998</v>
      </c>
      <c r="H130" s="1">
        <v>1</v>
      </c>
      <c r="I130" s="6">
        <v>69922</v>
      </c>
      <c r="J130" s="3">
        <v>12</v>
      </c>
      <c r="K130" s="3">
        <v>3.8</v>
      </c>
      <c r="L130" s="2">
        <v>1105072</v>
      </c>
      <c r="M130" s="2">
        <v>217665</v>
      </c>
      <c r="N130" s="3">
        <v>19.7</v>
      </c>
      <c r="O130" s="3">
        <v>8.4</v>
      </c>
      <c r="P130" s="1">
        <v>1</v>
      </c>
      <c r="Q130" t="s">
        <v>56</v>
      </c>
      <c r="R130" s="7">
        <v>12129.2</v>
      </c>
      <c r="S130" s="6">
        <f>R130*1000000/L130</f>
        <v>10975.936409573313</v>
      </c>
      <c r="T130" s="8">
        <f>LN(S130)</f>
        <v>9.3034605563604469</v>
      </c>
      <c r="U130" s="3">
        <f>IF(B130=2020,"",IF(A130=A129,(S130/S129-1)*100,""))</f>
        <v>5.2628628472044081</v>
      </c>
    </row>
    <row r="131" spans="1:21">
      <c r="A131" t="s">
        <v>55</v>
      </c>
      <c r="B131" s="1">
        <v>2024</v>
      </c>
      <c r="C131" s="6">
        <v>7943</v>
      </c>
      <c r="D131" s="6">
        <v>22294</v>
      </c>
      <c r="E131" s="6">
        <v>3000</v>
      </c>
      <c r="F131" s="3">
        <v>0.17971000000000001</v>
      </c>
      <c r="G131" s="3">
        <v>17.971</v>
      </c>
      <c r="H131" s="1">
        <v>1</v>
      </c>
      <c r="I131" s="6">
        <v>72509</v>
      </c>
      <c r="J131" s="3">
        <v>11.5</v>
      </c>
      <c r="K131" s="3">
        <v>3.6</v>
      </c>
      <c r="L131" s="2">
        <v>1116875</v>
      </c>
      <c r="M131" s="2">
        <v>224673</v>
      </c>
      <c r="N131" s="3">
        <v>20.100000000000001</v>
      </c>
      <c r="O131" s="3">
        <v>8.6</v>
      </c>
      <c r="P131" s="1">
        <v>1</v>
      </c>
      <c r="Q131" t="s">
        <v>56</v>
      </c>
      <c r="R131" s="7">
        <v>13046.7</v>
      </c>
      <c r="S131" s="6">
        <f>R131*1000000/L131</f>
        <v>11681.432568550643</v>
      </c>
      <c r="T131" s="8">
        <f>LN(S131)</f>
        <v>9.3657559002781543</v>
      </c>
      <c r="U131" s="3">
        <f>IF(B131=2020,"",IF(A131=A130,(S131/S130-1)*100,""))</f>
        <v>6.4276625943458399</v>
      </c>
    </row>
    <row r="132" spans="1:21">
      <c r="A132" t="s">
        <v>57</v>
      </c>
      <c r="B132" s="1">
        <v>2020</v>
      </c>
      <c r="C132" s="6">
        <v>7611</v>
      </c>
      <c r="D132" s="6">
        <v>20602</v>
      </c>
      <c r="E132" s="6">
        <v>3094</v>
      </c>
      <c r="F132" s="3">
        <v>0.21124000000000001</v>
      </c>
      <c r="G132" s="3">
        <v>21.124000000000002</v>
      </c>
      <c r="H132" s="1">
        <v>1</v>
      </c>
      <c r="I132" s="6">
        <v>63015</v>
      </c>
      <c r="J132" s="3">
        <v>10.4</v>
      </c>
      <c r="K132" s="3">
        <v>3.4</v>
      </c>
      <c r="L132" s="2">
        <v>1923826</v>
      </c>
      <c r="M132" s="2">
        <v>302031</v>
      </c>
      <c r="N132" s="3">
        <v>15.7</v>
      </c>
      <c r="O132" s="3">
        <v>8.1</v>
      </c>
      <c r="P132" s="1">
        <v>1</v>
      </c>
      <c r="Q132" t="s">
        <v>58</v>
      </c>
      <c r="R132" s="7">
        <v>17960.2</v>
      </c>
      <c r="S132" s="6">
        <f>R132*1000000/L132</f>
        <v>9335.6675707678351</v>
      </c>
      <c r="T132" s="8">
        <f>LN(S132)</f>
        <v>9.1415975660882047</v>
      </c>
      <c r="U132" s="3" t="str">
        <f>IF(B132=2020,"",IF(A132=A131,(S132/S131-1)*100,""))</f>
        <v/>
      </c>
    </row>
    <row r="133" spans="1:21">
      <c r="A133" t="s">
        <v>57</v>
      </c>
      <c r="B133" s="1">
        <v>2021</v>
      </c>
      <c r="C133" s="6">
        <v>7774</v>
      </c>
      <c r="D133" s="6">
        <v>21685</v>
      </c>
      <c r="E133" s="6">
        <v>3000</v>
      </c>
      <c r="F133" s="3">
        <v>0.18881999999999999</v>
      </c>
      <c r="G133" s="3">
        <v>18.881999999999998</v>
      </c>
      <c r="H133" s="1">
        <v>1</v>
      </c>
      <c r="I133" s="6">
        <v>66644</v>
      </c>
      <c r="J133" s="3">
        <v>10.3</v>
      </c>
      <c r="K133" s="3">
        <v>3.3</v>
      </c>
      <c r="L133" s="2">
        <v>1951480</v>
      </c>
      <c r="M133" s="2">
        <v>305771</v>
      </c>
      <c r="N133" s="3">
        <v>15.7</v>
      </c>
      <c r="O133" s="3">
        <v>8</v>
      </c>
      <c r="P133" s="1">
        <v>1</v>
      </c>
      <c r="Q133" t="s">
        <v>58</v>
      </c>
      <c r="R133" s="7">
        <v>19859.599999999999</v>
      </c>
      <c r="S133" s="6">
        <f>R133*1000000/L133</f>
        <v>10176.68641236395</v>
      </c>
      <c r="T133" s="8">
        <f>LN(S133)</f>
        <v>9.2278547373501816</v>
      </c>
      <c r="U133" s="3">
        <f>IF(B133=2020,"",IF(A133=A132,(S133/S132-1)*100,""))</f>
        <v>9.0086631215269719</v>
      </c>
    </row>
    <row r="134" spans="1:21">
      <c r="A134" t="s">
        <v>57</v>
      </c>
      <c r="B134" s="1">
        <v>2022</v>
      </c>
      <c r="C134" s="6">
        <v>7601</v>
      </c>
      <c r="D134" s="6">
        <v>21769</v>
      </c>
      <c r="E134" s="6">
        <v>3000</v>
      </c>
      <c r="F134" s="3">
        <v>0.18407999999999999</v>
      </c>
      <c r="G134" s="3">
        <v>18.407999999999998</v>
      </c>
      <c r="H134" s="1">
        <v>1</v>
      </c>
      <c r="I134" s="6">
        <v>71722</v>
      </c>
      <c r="J134" s="3">
        <v>10.4</v>
      </c>
      <c r="K134" s="3">
        <v>3.1</v>
      </c>
      <c r="L134" s="2">
        <v>1958939</v>
      </c>
      <c r="M134" s="2">
        <v>316709</v>
      </c>
      <c r="N134" s="3">
        <v>16.2</v>
      </c>
      <c r="O134" s="3">
        <v>7.8</v>
      </c>
      <c r="P134" s="1">
        <v>1</v>
      </c>
      <c r="Q134" t="s">
        <v>58</v>
      </c>
      <c r="R134" s="7">
        <v>21284</v>
      </c>
      <c r="S134" s="6">
        <f>R134*1000000/L134</f>
        <v>10865.065221530635</v>
      </c>
      <c r="T134" s="8">
        <f>LN(S134)</f>
        <v>9.2933078955745501</v>
      </c>
      <c r="U134" s="3">
        <f>IF(B134=2020,"",IF(A134=A133,(S134/S133-1)*100,""))</f>
        <v>6.764272586117559</v>
      </c>
    </row>
    <row r="135" spans="1:21">
      <c r="A135" t="s">
        <v>57</v>
      </c>
      <c r="B135" s="1">
        <v>2023</v>
      </c>
      <c r="C135" s="6">
        <v>8248</v>
      </c>
      <c r="D135" s="6">
        <v>23887</v>
      </c>
      <c r="E135" s="6">
        <v>3660</v>
      </c>
      <c r="F135" s="3">
        <v>0.21204000000000001</v>
      </c>
      <c r="G135" s="3">
        <v>21.204000000000001</v>
      </c>
      <c r="H135" s="1">
        <v>1</v>
      </c>
      <c r="I135" s="6">
        <v>74985</v>
      </c>
      <c r="J135" s="3">
        <v>10.3</v>
      </c>
      <c r="K135" s="3">
        <v>3</v>
      </c>
      <c r="L135" s="2">
        <v>1965926</v>
      </c>
      <c r="M135" s="2">
        <v>322165</v>
      </c>
      <c r="N135" s="3">
        <v>16.399999999999999</v>
      </c>
      <c r="O135" s="3">
        <v>7.4</v>
      </c>
      <c r="P135" s="1">
        <v>1</v>
      </c>
      <c r="Q135" t="s">
        <v>58</v>
      </c>
      <c r="R135" s="7">
        <v>22716.6</v>
      </c>
      <c r="S135" s="6">
        <f>R135*1000000/L135</f>
        <v>11555.165352103792</v>
      </c>
      <c r="T135" s="8">
        <f>LN(S135)</f>
        <v>9.3548878326107499</v>
      </c>
      <c r="U135" s="3">
        <f>IF(B135=2020,"",IF(A135=A134,(S135/S134-1)*100,""))</f>
        <v>6.3515507408609784</v>
      </c>
    </row>
    <row r="136" spans="1:21">
      <c r="A136" t="s">
        <v>57</v>
      </c>
      <c r="B136" s="1">
        <v>2024</v>
      </c>
      <c r="C136" s="6">
        <v>7797</v>
      </c>
      <c r="D136" s="6">
        <v>23696</v>
      </c>
      <c r="E136" s="6">
        <v>3000</v>
      </c>
      <c r="F136" s="3">
        <v>0.1741</v>
      </c>
      <c r="G136" s="3">
        <v>17.41</v>
      </c>
      <c r="H136" s="1">
        <v>1</v>
      </c>
      <c r="I136" s="6">
        <v>76475</v>
      </c>
      <c r="J136" s="3">
        <v>10.6</v>
      </c>
      <c r="K136" s="3">
        <v>3</v>
      </c>
      <c r="L136" s="2">
        <v>1978707</v>
      </c>
      <c r="M136" s="2">
        <v>330805</v>
      </c>
      <c r="N136" s="3">
        <v>16.7</v>
      </c>
      <c r="O136" s="3">
        <v>7.2</v>
      </c>
      <c r="P136" s="1">
        <v>1</v>
      </c>
      <c r="Q136" t="s">
        <v>58</v>
      </c>
      <c r="R136" s="7">
        <v>24339.1</v>
      </c>
      <c r="S136" s="6">
        <f>R136*1000000/L136</f>
        <v>12300.507351517936</v>
      </c>
      <c r="T136" s="8">
        <f>LN(S136)</f>
        <v>9.417395788600718</v>
      </c>
      <c r="U136" s="3">
        <f>IF(B136=2020,"",IF(A136=A135,(S136/S135-1)*100,""))</f>
        <v>6.4502928058787434</v>
      </c>
    </row>
    <row r="137" spans="1:21">
      <c r="A137" t="s">
        <v>59</v>
      </c>
      <c r="B137" s="1">
        <v>2020</v>
      </c>
      <c r="C137" s="6">
        <v>6493</v>
      </c>
      <c r="D137" s="6">
        <v>19524</v>
      </c>
      <c r="E137" s="6">
        <v>1200</v>
      </c>
      <c r="F137" s="3">
        <v>0.14932999999999999</v>
      </c>
      <c r="G137" s="3">
        <v>14.933</v>
      </c>
      <c r="H137" s="1">
        <v>1</v>
      </c>
      <c r="I137" s="6">
        <v>62043</v>
      </c>
      <c r="J137" s="3">
        <v>12.8</v>
      </c>
      <c r="K137" s="3">
        <v>6.6</v>
      </c>
      <c r="L137" s="2">
        <v>3030281</v>
      </c>
      <c r="M137" s="2">
        <v>478020</v>
      </c>
      <c r="N137" s="3">
        <v>15.8</v>
      </c>
      <c r="O137" s="3">
        <v>11.2</v>
      </c>
      <c r="P137" s="1">
        <v>1</v>
      </c>
      <c r="Q137" t="s">
        <v>26</v>
      </c>
      <c r="R137" s="7">
        <v>23081.4</v>
      </c>
      <c r="S137" s="6">
        <f>R137*1000000/L137</f>
        <v>7616.9173749893162</v>
      </c>
      <c r="T137" s="8">
        <f>LN(S137)</f>
        <v>8.9381270228660501</v>
      </c>
      <c r="U137" s="3" t="str">
        <f>IF(B137=2020,"",IF(A137=A136,(S137/S136-1)*100,""))</f>
        <v/>
      </c>
    </row>
    <row r="138" spans="1:21">
      <c r="A138" t="s">
        <v>59</v>
      </c>
      <c r="B138" s="1">
        <v>2021</v>
      </c>
      <c r="C138" s="6">
        <v>6748</v>
      </c>
      <c r="D138" s="6">
        <v>20103</v>
      </c>
      <c r="E138" s="6">
        <v>1000</v>
      </c>
      <c r="F138" s="3">
        <v>0.17524000000000001</v>
      </c>
      <c r="G138" s="3">
        <v>17.524000000000001</v>
      </c>
      <c r="H138" s="1">
        <v>1</v>
      </c>
      <c r="I138" s="6">
        <v>65686</v>
      </c>
      <c r="J138" s="3">
        <v>12.9</v>
      </c>
      <c r="K138" s="3">
        <v>7.1</v>
      </c>
      <c r="L138" s="2">
        <v>3059238</v>
      </c>
      <c r="M138" s="2">
        <v>482407</v>
      </c>
      <c r="N138" s="3">
        <v>15.8</v>
      </c>
      <c r="O138" s="3">
        <v>11.3</v>
      </c>
      <c r="P138" s="1">
        <v>1</v>
      </c>
      <c r="Q138" t="s">
        <v>26</v>
      </c>
      <c r="R138" s="7">
        <v>25745.7</v>
      </c>
      <c r="S138" s="6">
        <f>R138*1000000/L138</f>
        <v>8415.7231310542029</v>
      </c>
      <c r="T138" s="8">
        <f>LN(S138)</f>
        <v>9.0378570365102728</v>
      </c>
      <c r="U138" s="3">
        <f>IF(B138=2020,"",IF(A138=A137,(S138/S137-1)*100,""))</f>
        <v>10.48725772827499</v>
      </c>
    </row>
    <row r="139" spans="1:21">
      <c r="A139" t="s">
        <v>59</v>
      </c>
      <c r="B139" s="1">
        <v>2022</v>
      </c>
      <c r="C139" s="6">
        <v>6848</v>
      </c>
      <c r="D139" s="6">
        <v>20783</v>
      </c>
      <c r="E139" s="6">
        <v>1215</v>
      </c>
      <c r="F139" s="3">
        <v>0.15569</v>
      </c>
      <c r="G139" s="3">
        <v>15.568999999999999</v>
      </c>
      <c r="H139" s="1">
        <v>1</v>
      </c>
      <c r="I139" s="6">
        <v>71646</v>
      </c>
      <c r="J139" s="3">
        <v>12.7</v>
      </c>
      <c r="K139" s="3">
        <v>7</v>
      </c>
      <c r="L139" s="2">
        <v>3104817</v>
      </c>
      <c r="M139" s="2">
        <v>503234</v>
      </c>
      <c r="N139" s="3">
        <v>16.2</v>
      </c>
      <c r="O139" s="3">
        <v>11.4</v>
      </c>
      <c r="P139" s="1">
        <v>1</v>
      </c>
      <c r="Q139" t="s">
        <v>26</v>
      </c>
      <c r="R139" s="7">
        <v>27630.400000000001</v>
      </c>
      <c r="S139" s="6">
        <f>R139*1000000/L139</f>
        <v>8899.204043265674</v>
      </c>
      <c r="T139" s="8">
        <f>LN(S139)</f>
        <v>9.0937171183798959</v>
      </c>
      <c r="U139" s="3">
        <f>IF(B139=2020,"",IF(A139=A138,(S139/S138-1)*100,""))</f>
        <v>5.7449716997867384</v>
      </c>
    </row>
    <row r="140" spans="1:21">
      <c r="A140" t="s">
        <v>59</v>
      </c>
      <c r="B140" s="1">
        <v>2023</v>
      </c>
      <c r="C140" s="6">
        <v>7949</v>
      </c>
      <c r="D140" s="6">
        <v>21956</v>
      </c>
      <c r="E140" s="6">
        <v>1250</v>
      </c>
      <c r="F140" s="3">
        <v>0.15925</v>
      </c>
      <c r="G140" s="3">
        <v>15.925000000000001</v>
      </c>
      <c r="H140" s="1">
        <v>1</v>
      </c>
      <c r="I140" s="6">
        <v>75561</v>
      </c>
      <c r="J140" s="3">
        <v>12.6</v>
      </c>
      <c r="K140" s="3">
        <v>6.8</v>
      </c>
      <c r="L140" s="2">
        <v>3141000</v>
      </c>
      <c r="M140" s="2">
        <v>522417</v>
      </c>
      <c r="N140" s="3">
        <v>16.600000000000001</v>
      </c>
      <c r="O140" s="3">
        <v>11.3</v>
      </c>
      <c r="P140" s="1">
        <v>1</v>
      </c>
      <c r="Q140" t="s">
        <v>26</v>
      </c>
      <c r="R140" s="7">
        <v>29601.5</v>
      </c>
      <c r="S140" s="6">
        <f>R140*1000000/L140</f>
        <v>9424.2279528812487</v>
      </c>
      <c r="T140" s="8">
        <f>LN(S140)</f>
        <v>9.1510390941473485</v>
      </c>
      <c r="U140" s="3">
        <f>IF(B140=2020,"",IF(A140=A139,(S140/S139-1)*100,""))</f>
        <v>5.8996726792985177</v>
      </c>
    </row>
    <row r="141" spans="1:21">
      <c r="A141" t="s">
        <v>59</v>
      </c>
      <c r="B141" s="1">
        <v>2024</v>
      </c>
      <c r="C141" s="6">
        <v>7449</v>
      </c>
      <c r="D141" s="6">
        <v>21988</v>
      </c>
      <c r="E141" s="6">
        <v>1100</v>
      </c>
      <c r="F141" s="3">
        <v>0.13944000000000001</v>
      </c>
      <c r="G141" s="3">
        <v>13.944000000000001</v>
      </c>
      <c r="H141" s="1">
        <v>1</v>
      </c>
      <c r="I141" s="6">
        <v>78260</v>
      </c>
      <c r="J141" s="3">
        <v>12.4</v>
      </c>
      <c r="K141" s="3">
        <v>7</v>
      </c>
      <c r="L141" s="2">
        <v>3184612</v>
      </c>
      <c r="M141" s="2">
        <v>540786</v>
      </c>
      <c r="N141" s="3">
        <v>17</v>
      </c>
      <c r="O141" s="3">
        <v>11.4</v>
      </c>
      <c r="P141" s="1">
        <v>1</v>
      </c>
      <c r="Q141" t="s">
        <v>26</v>
      </c>
      <c r="R141" s="7">
        <v>31643</v>
      </c>
      <c r="S141" s="6">
        <f>R141*1000000/L141</f>
        <v>9936.2182897005969</v>
      </c>
      <c r="T141" s="8">
        <f>LN(S141)</f>
        <v>9.2039417735072746</v>
      </c>
      <c r="U141" s="3">
        <f>IF(B141=2020,"",IF(A141=A140,(S141/S140-1)*100,""))</f>
        <v>5.4327032344630322</v>
      </c>
    </row>
    <row r="142" spans="1:21">
      <c r="A142" t="s">
        <v>60</v>
      </c>
      <c r="B142" s="1">
        <v>2020</v>
      </c>
      <c r="C142" s="6">
        <v>7991</v>
      </c>
      <c r="D142" s="6">
        <v>23654</v>
      </c>
      <c r="E142" s="6">
        <v>3300</v>
      </c>
      <c r="F142" s="3">
        <v>0.17429</v>
      </c>
      <c r="G142" s="3">
        <v>17.428999999999998</v>
      </c>
      <c r="H142" s="1">
        <v>1</v>
      </c>
      <c r="I142" s="6">
        <v>77923</v>
      </c>
      <c r="J142" s="3">
        <v>7.4</v>
      </c>
      <c r="K142" s="3">
        <v>3.8</v>
      </c>
      <c r="L142" s="2">
        <v>1355244</v>
      </c>
      <c r="M142" s="2">
        <v>245142</v>
      </c>
      <c r="N142" s="3">
        <v>18.100000000000001</v>
      </c>
      <c r="O142" s="3">
        <v>6</v>
      </c>
      <c r="P142" s="1">
        <v>1</v>
      </c>
      <c r="Q142" t="s">
        <v>61</v>
      </c>
      <c r="R142" s="7">
        <v>13957.2</v>
      </c>
      <c r="S142" s="6">
        <f>R142*1000000/L142</f>
        <v>10298.66208594172</v>
      </c>
      <c r="T142" s="8">
        <f>LN(S142)</f>
        <v>9.2397692712119319</v>
      </c>
      <c r="U142" s="3" t="str">
        <f>IF(B142=2020,"",IF(A142=A141,(S142/S141-1)*100,""))</f>
        <v/>
      </c>
    </row>
    <row r="143" spans="1:21">
      <c r="A143" t="s">
        <v>60</v>
      </c>
      <c r="B143" s="1">
        <v>2021</v>
      </c>
      <c r="C143" s="6">
        <v>7963</v>
      </c>
      <c r="D143" s="6">
        <v>24297</v>
      </c>
      <c r="E143" s="6">
        <v>3200</v>
      </c>
      <c r="F143" s="3">
        <v>0.18082000000000001</v>
      </c>
      <c r="G143" s="3">
        <v>18.082000000000001</v>
      </c>
      <c r="H143" s="1">
        <v>1</v>
      </c>
      <c r="I143" s="6">
        <v>83449</v>
      </c>
      <c r="J143" s="3">
        <v>7.4</v>
      </c>
      <c r="K143" s="3">
        <v>3.8</v>
      </c>
      <c r="L143" s="2">
        <v>1372175</v>
      </c>
      <c r="M143" s="2">
        <v>250136</v>
      </c>
      <c r="N143" s="3">
        <v>18.2</v>
      </c>
      <c r="O143" s="3">
        <v>5.9</v>
      </c>
      <c r="P143" s="1">
        <v>1</v>
      </c>
      <c r="Q143" t="s">
        <v>61</v>
      </c>
      <c r="R143" s="7">
        <v>15173.1</v>
      </c>
      <c r="S143" s="6">
        <f>R143*1000000/L143</f>
        <v>11057.700366206935</v>
      </c>
      <c r="T143" s="8">
        <f>LN(S143)</f>
        <v>9.3108823299678125</v>
      </c>
      <c r="U143" s="3">
        <f>IF(B143=2020,"",IF(A143=A142,(S143/S142-1)*100,""))</f>
        <v>7.3702610487759168</v>
      </c>
    </row>
    <row r="144" spans="1:21">
      <c r="A144" t="s">
        <v>60</v>
      </c>
      <c r="B144" s="1">
        <v>2022</v>
      </c>
      <c r="C144" s="6">
        <v>8053</v>
      </c>
      <c r="D144" s="6">
        <v>24034</v>
      </c>
      <c r="E144" s="6">
        <v>3600</v>
      </c>
      <c r="F144" s="3">
        <v>0.20674000000000001</v>
      </c>
      <c r="G144" s="3">
        <v>20.673999999999999</v>
      </c>
      <c r="H144" s="1">
        <v>1</v>
      </c>
      <c r="I144" s="6">
        <v>90845</v>
      </c>
      <c r="J144" s="3">
        <v>7.3</v>
      </c>
      <c r="K144" s="3">
        <v>3.6</v>
      </c>
      <c r="L144" s="2">
        <v>1379610</v>
      </c>
      <c r="M144" s="2">
        <v>261749</v>
      </c>
      <c r="N144" s="3">
        <v>19</v>
      </c>
      <c r="O144" s="3">
        <v>5.8</v>
      </c>
      <c r="P144" s="1">
        <v>1</v>
      </c>
      <c r="Q144" t="s">
        <v>61</v>
      </c>
      <c r="R144" s="7">
        <v>16031.4</v>
      </c>
      <c r="S144" s="6">
        <f>R144*1000000/L144</f>
        <v>11620.240502750778</v>
      </c>
      <c r="T144" s="8">
        <f>LN(S144)</f>
        <v>9.3605037275024543</v>
      </c>
      <c r="U144" s="3">
        <f>IF(B144=2020,"",IF(A144=A143,(S144/S143-1)*100,""))</f>
        <v>5.0873157882176168</v>
      </c>
    </row>
    <row r="145" spans="1:21">
      <c r="A145" t="s">
        <v>60</v>
      </c>
      <c r="B145" s="1">
        <v>2023</v>
      </c>
      <c r="C145" s="6">
        <v>8679</v>
      </c>
      <c r="D145" s="6">
        <v>25983</v>
      </c>
      <c r="E145" s="6">
        <v>3400</v>
      </c>
      <c r="F145" s="3">
        <v>0.17985000000000001</v>
      </c>
      <c r="G145" s="3">
        <v>17.984999999999999</v>
      </c>
      <c r="H145" s="1">
        <v>1</v>
      </c>
      <c r="I145" s="6">
        <v>95628</v>
      </c>
      <c r="J145" s="3">
        <v>7.2</v>
      </c>
      <c r="K145" s="3">
        <v>3.4</v>
      </c>
      <c r="L145" s="2">
        <v>1387834</v>
      </c>
      <c r="M145" s="2">
        <v>270525</v>
      </c>
      <c r="N145" s="3">
        <v>19.5</v>
      </c>
      <c r="O145" s="3">
        <v>5.5</v>
      </c>
      <c r="P145" s="1">
        <v>1</v>
      </c>
      <c r="Q145" t="s">
        <v>61</v>
      </c>
      <c r="R145" s="7">
        <v>17122.099999999999</v>
      </c>
      <c r="S145" s="6">
        <f>R145*1000000/L145</f>
        <v>12337.282412738121</v>
      </c>
      <c r="T145" s="8">
        <f>LN(S145)</f>
        <v>9.4203810473339864</v>
      </c>
      <c r="U145" s="3">
        <f>IF(B145=2020,"",IF(A145=A144,(S145/S144-1)*100,""))</f>
        <v>6.1706288249163466</v>
      </c>
    </row>
    <row r="146" spans="1:21">
      <c r="A146" t="s">
        <v>60</v>
      </c>
      <c r="B146" s="1">
        <v>2024</v>
      </c>
      <c r="C146" s="6">
        <v>8352</v>
      </c>
      <c r="D146" s="6">
        <v>26119</v>
      </c>
      <c r="E146" s="6">
        <v>3500</v>
      </c>
      <c r="F146" s="3">
        <v>0.18407000000000001</v>
      </c>
      <c r="G146" s="3">
        <v>18.407</v>
      </c>
      <c r="H146" s="1">
        <v>1</v>
      </c>
      <c r="I146" s="6">
        <v>99031</v>
      </c>
      <c r="J146" s="3">
        <v>7.2</v>
      </c>
      <c r="K146" s="3">
        <v>3.3</v>
      </c>
      <c r="L146" s="2">
        <v>1394868</v>
      </c>
      <c r="M146" s="2">
        <v>280933</v>
      </c>
      <c r="N146" s="3">
        <v>20.100000000000001</v>
      </c>
      <c r="O146" s="3">
        <v>5.3</v>
      </c>
      <c r="P146" s="1">
        <v>1</v>
      </c>
      <c r="Q146" t="s">
        <v>61</v>
      </c>
      <c r="R146" s="7">
        <v>18529.400000000001</v>
      </c>
      <c r="S146" s="6">
        <f>R146*1000000/L146</f>
        <v>13283.980993183584</v>
      </c>
      <c r="T146" s="8">
        <f>LN(S146)</f>
        <v>9.4943141516904035</v>
      </c>
      <c r="U146" s="3">
        <f>IF(B146=2020,"",IF(A146=A145,(S146/S145-1)*100,""))</f>
        <v>7.6734774221266733</v>
      </c>
    </row>
    <row r="147" spans="1:21">
      <c r="A147" t="s">
        <v>62</v>
      </c>
      <c r="B147" s="1">
        <v>2020</v>
      </c>
      <c r="C147" s="6">
        <v>7373</v>
      </c>
      <c r="D147" s="6">
        <v>23042</v>
      </c>
      <c r="E147" s="6">
        <v>2000</v>
      </c>
      <c r="F147" s="3">
        <v>0.14208999999999999</v>
      </c>
      <c r="G147" s="3">
        <v>14.209</v>
      </c>
      <c r="H147" s="1">
        <v>1</v>
      </c>
      <c r="I147" s="6">
        <v>85245</v>
      </c>
      <c r="J147" s="3">
        <v>9.6999999999999993</v>
      </c>
      <c r="K147" s="3">
        <v>5.8</v>
      </c>
      <c r="L147" s="2">
        <v>8885418</v>
      </c>
      <c r="M147" s="2">
        <v>1442938</v>
      </c>
      <c r="N147" s="3">
        <v>16.2</v>
      </c>
      <c r="O147" s="3">
        <v>7.6</v>
      </c>
      <c r="P147" s="1">
        <v>1</v>
      </c>
      <c r="Q147" t="s">
        <v>26</v>
      </c>
      <c r="R147" s="7">
        <v>93867.5</v>
      </c>
      <c r="S147" s="6">
        <f>R147*1000000/L147</f>
        <v>10564.21881334114</v>
      </c>
      <c r="T147" s="8">
        <f>LN(S147)</f>
        <v>9.2652279863169671</v>
      </c>
      <c r="U147" s="3" t="str">
        <f>IF(B147=2020,"",IF(A147=A146,(S147/S146-1)*100,""))</f>
        <v/>
      </c>
    </row>
    <row r="148" spans="1:21">
      <c r="A148" t="s">
        <v>62</v>
      </c>
      <c r="B148" s="1">
        <v>2021</v>
      </c>
      <c r="C148" s="6">
        <v>7641</v>
      </c>
      <c r="D148" s="6">
        <v>22094</v>
      </c>
      <c r="E148" s="6">
        <v>2000</v>
      </c>
      <c r="F148" s="3">
        <v>0.15958</v>
      </c>
      <c r="G148" s="3">
        <v>15.958</v>
      </c>
      <c r="H148" s="1">
        <v>1</v>
      </c>
      <c r="I148" s="6">
        <v>89703</v>
      </c>
      <c r="J148" s="3">
        <v>9.8000000000000007</v>
      </c>
      <c r="K148" s="3">
        <v>6.2</v>
      </c>
      <c r="L148" s="2">
        <v>9234024</v>
      </c>
      <c r="M148" s="2">
        <v>1494516</v>
      </c>
      <c r="N148" s="3">
        <v>16.2</v>
      </c>
      <c r="O148" s="3">
        <v>7.6</v>
      </c>
      <c r="P148" s="1">
        <v>1</v>
      </c>
      <c r="Q148" t="s">
        <v>26</v>
      </c>
      <c r="R148" s="7">
        <v>103739</v>
      </c>
      <c r="S148" s="6">
        <f>R148*1000000/L148</f>
        <v>11234.430406505333</v>
      </c>
      <c r="T148" s="8">
        <f>LN(S148)</f>
        <v>9.3267384852038688</v>
      </c>
      <c r="U148" s="3">
        <f>IF(B148=2020,"",IF(A148=A147,(S148/S147-1)*100,""))</f>
        <v>6.3441661423919937</v>
      </c>
    </row>
    <row r="149" spans="1:21">
      <c r="A149" t="s">
        <v>62</v>
      </c>
      <c r="B149" s="1">
        <v>2022</v>
      </c>
      <c r="C149" s="6">
        <v>8183</v>
      </c>
      <c r="D149" s="6">
        <v>24843</v>
      </c>
      <c r="E149" s="6">
        <v>2400</v>
      </c>
      <c r="F149" s="3">
        <v>0.14701</v>
      </c>
      <c r="G149" s="3">
        <v>14.701000000000001</v>
      </c>
      <c r="H149" s="1">
        <v>1</v>
      </c>
      <c r="I149" s="6">
        <v>97126</v>
      </c>
      <c r="J149" s="3">
        <v>9.6999999999999993</v>
      </c>
      <c r="K149" s="3">
        <v>6.2</v>
      </c>
      <c r="L149" s="2">
        <v>9249063</v>
      </c>
      <c r="M149" s="2">
        <v>1532614</v>
      </c>
      <c r="N149" s="3">
        <v>16.600000000000001</v>
      </c>
      <c r="O149" s="3">
        <v>7.5</v>
      </c>
      <c r="P149" s="1">
        <v>1</v>
      </c>
      <c r="Q149" t="s">
        <v>26</v>
      </c>
      <c r="R149" s="7">
        <v>110197.5</v>
      </c>
      <c r="S149" s="6">
        <f>R149*1000000/L149</f>
        <v>11914.4501448417</v>
      </c>
      <c r="T149" s="8">
        <f>LN(S149)</f>
        <v>9.3855072403220916</v>
      </c>
      <c r="U149" s="3">
        <f>IF(B149=2020,"",IF(A149=A148,(S149/S148-1)*100,""))</f>
        <v>6.0529970254887155</v>
      </c>
    </row>
    <row r="150" spans="1:21">
      <c r="A150" t="s">
        <v>62</v>
      </c>
      <c r="B150" s="1">
        <v>2023</v>
      </c>
      <c r="C150" s="6">
        <v>9662</v>
      </c>
      <c r="D150" s="6">
        <v>26870</v>
      </c>
      <c r="E150" s="6">
        <v>2000</v>
      </c>
      <c r="F150" s="3">
        <v>0.12791</v>
      </c>
      <c r="G150" s="3">
        <v>12.791</v>
      </c>
      <c r="H150" s="1">
        <v>1</v>
      </c>
      <c r="I150" s="6">
        <v>101050</v>
      </c>
      <c r="J150" s="3">
        <v>9.8000000000000007</v>
      </c>
      <c r="K150" s="3">
        <v>6.2</v>
      </c>
      <c r="L150" s="2">
        <v>9267014</v>
      </c>
      <c r="M150" s="2">
        <v>1559816</v>
      </c>
      <c r="N150" s="3">
        <v>16.8</v>
      </c>
      <c r="O150" s="3">
        <v>7.4</v>
      </c>
      <c r="P150" s="1">
        <v>1</v>
      </c>
      <c r="Q150" t="s">
        <v>26</v>
      </c>
      <c r="R150" s="7">
        <v>119000.2</v>
      </c>
      <c r="S150" s="6">
        <f>R150*1000000/L150</f>
        <v>12841.266884888702</v>
      </c>
      <c r="T150" s="8">
        <f>LN(S150)</f>
        <v>9.4604192394240858</v>
      </c>
      <c r="U150" s="3">
        <f>IF(B150=2020,"",IF(A150=A149,(S150/S149-1)*100,""))</f>
        <v>7.7789300284937024</v>
      </c>
    </row>
    <row r="151" spans="1:21">
      <c r="A151" t="s">
        <v>62</v>
      </c>
      <c r="B151" s="1">
        <v>2024</v>
      </c>
      <c r="C151" s="6">
        <v>9119</v>
      </c>
      <c r="D151" s="6">
        <v>27491</v>
      </c>
      <c r="E151" s="6">
        <v>2600</v>
      </c>
      <c r="F151" s="3">
        <v>0.13444999999999999</v>
      </c>
      <c r="G151" s="3">
        <v>13.444999999999999</v>
      </c>
      <c r="H151" s="1">
        <v>1</v>
      </c>
      <c r="I151" s="6">
        <v>103556</v>
      </c>
      <c r="J151" s="3">
        <v>9.6999999999999993</v>
      </c>
      <c r="K151" s="3">
        <v>6.3</v>
      </c>
      <c r="L151" s="2">
        <v>9343809</v>
      </c>
      <c r="M151" s="2">
        <v>1605758</v>
      </c>
      <c r="N151" s="3">
        <v>17.2</v>
      </c>
      <c r="O151" s="3">
        <v>7.5</v>
      </c>
      <c r="P151" s="1">
        <v>1</v>
      </c>
      <c r="Q151" t="s">
        <v>26</v>
      </c>
      <c r="R151" s="7">
        <v>129096.2</v>
      </c>
      <c r="S151" s="6">
        <f>R151*1000000/L151</f>
        <v>13816.228478129209</v>
      </c>
      <c r="T151" s="8">
        <f>LN(S151)</f>
        <v>9.5335991569023708</v>
      </c>
      <c r="U151" s="3">
        <f>IF(B151=2020,"",IF(A151=A150,(S151/S150-1)*100,""))</f>
        <v>7.5924097052123329</v>
      </c>
    </row>
    <row r="152" spans="1:21">
      <c r="A152" t="s">
        <v>63</v>
      </c>
      <c r="B152" s="1">
        <v>2020</v>
      </c>
      <c r="C152" s="6">
        <v>7424</v>
      </c>
      <c r="D152" s="6">
        <v>18949</v>
      </c>
      <c r="E152" s="6">
        <v>704</v>
      </c>
      <c r="F152" s="3">
        <v>0.14355000000000001</v>
      </c>
      <c r="G152" s="3">
        <v>14.355</v>
      </c>
      <c r="H152" s="1">
        <v>0</v>
      </c>
      <c r="I152" s="6">
        <v>51243</v>
      </c>
      <c r="J152" s="3">
        <v>18.600000000000001</v>
      </c>
      <c r="K152" s="3">
        <v>6.6</v>
      </c>
      <c r="L152" s="2">
        <v>2097021</v>
      </c>
      <c r="M152" s="2">
        <v>364900</v>
      </c>
      <c r="N152" s="3">
        <v>17.399999999999999</v>
      </c>
      <c r="O152" s="3">
        <v>9.5</v>
      </c>
      <c r="P152" s="1">
        <v>1</v>
      </c>
      <c r="Q152" t="s">
        <v>26</v>
      </c>
      <c r="R152" s="7">
        <v>15770.5</v>
      </c>
      <c r="S152" s="6">
        <f>R152*1000000/L152</f>
        <v>7520.4301721346619</v>
      </c>
      <c r="T152" s="8">
        <f>LN(S152)</f>
        <v>8.9253786190491251</v>
      </c>
      <c r="U152" s="3" t="str">
        <f>IF(B152=2020,"",IF(A152=A151,(S152/S151-1)*100,""))</f>
        <v/>
      </c>
    </row>
    <row r="153" spans="1:21">
      <c r="A153" t="s">
        <v>63</v>
      </c>
      <c r="B153" s="1">
        <v>2021</v>
      </c>
      <c r="C153" s="6">
        <v>7566</v>
      </c>
      <c r="D153" s="6">
        <v>20431</v>
      </c>
      <c r="E153" s="6">
        <v>600</v>
      </c>
      <c r="F153" s="3">
        <v>0.13593</v>
      </c>
      <c r="G153" s="3">
        <v>13.593</v>
      </c>
      <c r="H153" s="1">
        <v>0</v>
      </c>
      <c r="I153" s="6">
        <v>54020</v>
      </c>
      <c r="J153" s="3">
        <v>18.3</v>
      </c>
      <c r="K153" s="3">
        <v>6.6</v>
      </c>
      <c r="L153" s="2">
        <v>2109366</v>
      </c>
      <c r="M153" s="2">
        <v>369541</v>
      </c>
      <c r="N153" s="3">
        <v>17.5</v>
      </c>
      <c r="O153" s="3">
        <v>9.6</v>
      </c>
      <c r="P153" s="1">
        <v>1</v>
      </c>
      <c r="Q153" t="s">
        <v>26</v>
      </c>
      <c r="R153" s="7">
        <v>17837.3</v>
      </c>
      <c r="S153" s="6">
        <f>R153*1000000/L153</f>
        <v>8456.2375614284101</v>
      </c>
      <c r="T153" s="8">
        <f>LN(S153)</f>
        <v>9.0426596209856775</v>
      </c>
      <c r="U153" s="3">
        <f>IF(B153=2020,"",IF(A153=A152,(S153/S152-1)*100,""))</f>
        <v>12.443535381276206</v>
      </c>
    </row>
    <row r="154" spans="1:21">
      <c r="A154" t="s">
        <v>63</v>
      </c>
      <c r="B154" s="1">
        <v>2022</v>
      </c>
      <c r="C154" s="6">
        <v>7794</v>
      </c>
      <c r="D154" s="6">
        <v>21857</v>
      </c>
      <c r="E154" s="6">
        <v>630</v>
      </c>
      <c r="F154" s="3">
        <v>0.15942000000000001</v>
      </c>
      <c r="G154" s="3">
        <v>15.942</v>
      </c>
      <c r="H154" s="1">
        <v>0</v>
      </c>
      <c r="I154" s="6">
        <v>58722</v>
      </c>
      <c r="J154" s="3">
        <v>18.3</v>
      </c>
      <c r="K154" s="3">
        <v>6.2</v>
      </c>
      <c r="L154" s="2">
        <v>2112463</v>
      </c>
      <c r="M154" s="2">
        <v>382672</v>
      </c>
      <c r="N154" s="3">
        <v>18.100000000000001</v>
      </c>
      <c r="O154" s="3">
        <v>9.5</v>
      </c>
      <c r="P154" s="1">
        <v>1</v>
      </c>
      <c r="Q154" t="s">
        <v>26</v>
      </c>
      <c r="R154" s="7">
        <v>18874.599999999999</v>
      </c>
      <c r="S154" s="6">
        <f>R154*1000000/L154</f>
        <v>8934.878386035638</v>
      </c>
      <c r="T154" s="8">
        <f>LN(S154)</f>
        <v>9.0977178165367842</v>
      </c>
      <c r="U154" s="3">
        <f>IF(B154=2020,"",IF(A154=A153,(S154/S153-1)*100,""))</f>
        <v>5.6602102427971257</v>
      </c>
    </row>
    <row r="155" spans="1:21">
      <c r="A155" t="s">
        <v>63</v>
      </c>
      <c r="B155" s="1">
        <v>2023</v>
      </c>
      <c r="C155" s="6">
        <v>8333</v>
      </c>
      <c r="D155" s="6">
        <v>24207</v>
      </c>
      <c r="E155" s="6">
        <v>900</v>
      </c>
      <c r="F155" s="3">
        <v>0.14011999999999999</v>
      </c>
      <c r="G155" s="3">
        <v>14.011999999999999</v>
      </c>
      <c r="H155" s="1">
        <v>0</v>
      </c>
      <c r="I155" s="6">
        <v>62125</v>
      </c>
      <c r="J155" s="3">
        <v>18.100000000000001</v>
      </c>
      <c r="K155" s="3">
        <v>6</v>
      </c>
      <c r="L155" s="2">
        <v>2114768</v>
      </c>
      <c r="M155" s="2">
        <v>397156</v>
      </c>
      <c r="N155" s="3">
        <v>18.8</v>
      </c>
      <c r="O155" s="3">
        <v>9.5</v>
      </c>
      <c r="P155" s="1">
        <v>1</v>
      </c>
      <c r="Q155" t="s">
        <v>26</v>
      </c>
      <c r="R155" s="7">
        <v>20492.3</v>
      </c>
      <c r="S155" s="6">
        <f>R155*1000000/L155</f>
        <v>9690.0936651207121</v>
      </c>
      <c r="T155" s="8">
        <f>LN(S155)</f>
        <v>9.1788593710012236</v>
      </c>
      <c r="U155" s="3">
        <f>IF(B155=2020,"",IF(A155=A154,(S155/S154-1)*100,""))</f>
        <v>8.4524404972920806</v>
      </c>
    </row>
    <row r="156" spans="1:21">
      <c r="A156" t="s">
        <v>63</v>
      </c>
      <c r="B156" s="1">
        <v>2024</v>
      </c>
      <c r="C156" s="6">
        <v>8586</v>
      </c>
      <c r="D156" s="6">
        <v>23828</v>
      </c>
      <c r="E156" s="6">
        <v>1000</v>
      </c>
      <c r="F156" s="3">
        <v>0.14410000000000001</v>
      </c>
      <c r="G156" s="3">
        <v>14.41</v>
      </c>
      <c r="H156" s="1">
        <v>0</v>
      </c>
      <c r="I156" s="6">
        <v>64059</v>
      </c>
      <c r="J156" s="3">
        <v>17.8</v>
      </c>
      <c r="K156" s="3">
        <v>6</v>
      </c>
      <c r="L156" s="2">
        <v>2120246</v>
      </c>
      <c r="M156" s="2">
        <v>408264</v>
      </c>
      <c r="N156" s="3">
        <v>19.3</v>
      </c>
      <c r="O156" s="3">
        <v>9.6</v>
      </c>
      <c r="P156" s="1">
        <v>1</v>
      </c>
      <c r="Q156" t="s">
        <v>26</v>
      </c>
      <c r="R156" s="7">
        <v>21758.3</v>
      </c>
      <c r="S156" s="6">
        <f>R156*1000000/L156</f>
        <v>10262.158258994476</v>
      </c>
      <c r="T156" s="8">
        <f>LN(S156)</f>
        <v>9.23621845323005</v>
      </c>
      <c r="U156" s="3">
        <f>IF(B156=2020,"",IF(A156=A155,(S156/S155-1)*100,""))</f>
        <v>5.9036023143191896</v>
      </c>
    </row>
    <row r="157" spans="1:21">
      <c r="A157" t="s">
        <v>64</v>
      </c>
      <c r="B157" s="1">
        <v>2020</v>
      </c>
      <c r="C157" s="6">
        <v>8177</v>
      </c>
      <c r="D157" s="6">
        <v>23381</v>
      </c>
      <c r="E157" s="6">
        <v>960</v>
      </c>
      <c r="F157" s="3">
        <v>0.14718000000000001</v>
      </c>
      <c r="G157" s="3">
        <v>14.718</v>
      </c>
      <c r="H157" s="1">
        <v>1</v>
      </c>
      <c r="I157" s="6">
        <v>71117</v>
      </c>
      <c r="J157" s="3">
        <v>13.6</v>
      </c>
      <c r="K157" s="3">
        <v>5.7</v>
      </c>
      <c r="L157" s="2">
        <v>19514849</v>
      </c>
      <c r="M157" s="2">
        <v>3221702</v>
      </c>
      <c r="N157" s="3">
        <v>16.5</v>
      </c>
      <c r="O157" s="3">
        <v>5.4</v>
      </c>
      <c r="P157" s="1">
        <v>1</v>
      </c>
      <c r="Q157" t="s">
        <v>26</v>
      </c>
      <c r="R157" s="7">
        <v>227266</v>
      </c>
      <c r="S157" s="6">
        <f>R157*1000000/L157</f>
        <v>11645.798540383274</v>
      </c>
      <c r="T157" s="8">
        <f>LN(S157)</f>
        <v>9.362700753637041</v>
      </c>
      <c r="U157" s="3" t="str">
        <f>IF(B157=2020,"",IF(A157=A156,(S157/S156-1)*100,""))</f>
        <v/>
      </c>
    </row>
    <row r="158" spans="1:21">
      <c r="A158" t="s">
        <v>64</v>
      </c>
      <c r="B158" s="1">
        <v>2021</v>
      </c>
      <c r="C158" s="6">
        <v>8542</v>
      </c>
      <c r="D158" s="6">
        <v>23450</v>
      </c>
      <c r="E158" s="6">
        <v>990</v>
      </c>
      <c r="F158" s="3">
        <v>0.12656999999999999</v>
      </c>
      <c r="G158" s="3">
        <v>12.656999999999998</v>
      </c>
      <c r="H158" s="1">
        <v>1</v>
      </c>
      <c r="I158" s="6">
        <v>75157</v>
      </c>
      <c r="J158" s="3">
        <v>13.5</v>
      </c>
      <c r="K158" s="3">
        <v>6.2</v>
      </c>
      <c r="L158" s="2">
        <v>20114745</v>
      </c>
      <c r="M158" s="2">
        <v>3330159</v>
      </c>
      <c r="N158" s="3">
        <v>16.600000000000001</v>
      </c>
      <c r="O158" s="3">
        <v>5.3</v>
      </c>
      <c r="P158" s="1">
        <v>1</v>
      </c>
      <c r="Q158" t="s">
        <v>26</v>
      </c>
      <c r="R158" s="7">
        <v>241988.3</v>
      </c>
      <c r="S158" s="6">
        <f>R158*1000000/L158</f>
        <v>12030.393624179675</v>
      </c>
      <c r="T158" s="8">
        <f>LN(S158)</f>
        <v>9.3951915286478673</v>
      </c>
      <c r="U158" s="3">
        <f>IF(B158=2020,"",IF(A158=A157,(S158/S157-1)*100,""))</f>
        <v>3.302436346144666</v>
      </c>
    </row>
    <row r="159" spans="1:21">
      <c r="A159" t="s">
        <v>64</v>
      </c>
      <c r="B159" s="1">
        <v>2022</v>
      </c>
      <c r="C159" s="6">
        <v>8936</v>
      </c>
      <c r="D159" s="6">
        <v>24368</v>
      </c>
      <c r="E159" s="6">
        <v>800</v>
      </c>
      <c r="F159" s="3">
        <v>0.1366</v>
      </c>
      <c r="G159" s="3">
        <v>13.66</v>
      </c>
      <c r="H159" s="1">
        <v>1</v>
      </c>
      <c r="I159" s="6">
        <v>81386</v>
      </c>
      <c r="J159" s="3">
        <v>13.6</v>
      </c>
      <c r="K159" s="3">
        <v>6.2</v>
      </c>
      <c r="L159" s="2">
        <v>19994379</v>
      </c>
      <c r="M159" s="2">
        <v>3402284</v>
      </c>
      <c r="N159" s="3">
        <v>17</v>
      </c>
      <c r="O159" s="3">
        <v>5.2</v>
      </c>
      <c r="P159" s="1">
        <v>1</v>
      </c>
      <c r="Q159" t="s">
        <v>26</v>
      </c>
      <c r="R159" s="7">
        <v>255893.1</v>
      </c>
      <c r="S159" s="6">
        <f>R159*1000000/L159</f>
        <v>12798.251948710185</v>
      </c>
      <c r="T159" s="8">
        <f>LN(S159)</f>
        <v>9.4570638740746364</v>
      </c>
      <c r="U159" s="3">
        <f>IF(B159=2020,"",IF(A159=A158,(S159/S158-1)*100,""))</f>
        <v>6.3826533737616487</v>
      </c>
    </row>
    <row r="160" spans="1:21">
      <c r="A160" t="s">
        <v>64</v>
      </c>
      <c r="B160" s="1">
        <v>2023</v>
      </c>
      <c r="C160" s="6">
        <v>9173</v>
      </c>
      <c r="D160" s="6">
        <v>26355</v>
      </c>
      <c r="E160" s="6">
        <v>900</v>
      </c>
      <c r="F160" s="3">
        <v>0.11486</v>
      </c>
      <c r="G160" s="3">
        <v>11.486000000000001</v>
      </c>
      <c r="H160" s="1">
        <v>1</v>
      </c>
      <c r="I160" s="6">
        <v>84578</v>
      </c>
      <c r="J160" s="3">
        <v>13.7</v>
      </c>
      <c r="K160" s="3">
        <v>6.2</v>
      </c>
      <c r="L160" s="2">
        <v>19872319</v>
      </c>
      <c r="M160" s="2">
        <v>3461186</v>
      </c>
      <c r="N160" s="3">
        <v>17.399999999999999</v>
      </c>
      <c r="O160" s="3">
        <v>5.0999999999999996</v>
      </c>
      <c r="P160" s="1">
        <v>1</v>
      </c>
      <c r="Q160" t="s">
        <v>26</v>
      </c>
      <c r="R160" s="7">
        <v>281072.90000000002</v>
      </c>
      <c r="S160" s="6">
        <f>R160*1000000/L160</f>
        <v>14143.940624141551</v>
      </c>
      <c r="T160" s="8">
        <f>LN(S160)</f>
        <v>9.5570415869148206</v>
      </c>
      <c r="U160" s="3">
        <f>IF(B160=2020,"",IF(A160=A159,(S160/S159-1)*100,""))</f>
        <v>10.514628722924812</v>
      </c>
    </row>
    <row r="161" spans="1:21">
      <c r="A161" t="s">
        <v>64</v>
      </c>
      <c r="B161" s="1">
        <v>2024</v>
      </c>
      <c r="C161" s="6">
        <v>9589</v>
      </c>
      <c r="D161" s="6">
        <v>27188</v>
      </c>
      <c r="E161" s="6">
        <v>1100</v>
      </c>
      <c r="F161" s="3">
        <v>0.12486999999999999</v>
      </c>
      <c r="G161" s="3">
        <v>12.487</v>
      </c>
      <c r="H161" s="1">
        <v>1</v>
      </c>
      <c r="I161" s="6">
        <v>85974</v>
      </c>
      <c r="J161" s="3">
        <v>14</v>
      </c>
      <c r="K161" s="3">
        <v>6.4</v>
      </c>
      <c r="L161" s="2">
        <v>19852366</v>
      </c>
      <c r="M161" s="2">
        <v>3554028</v>
      </c>
      <c r="N161" s="3">
        <v>17.899999999999999</v>
      </c>
      <c r="O161" s="3">
        <v>5.0999999999999996</v>
      </c>
      <c r="P161" s="1">
        <v>1</v>
      </c>
      <c r="Q161" t="s">
        <v>26</v>
      </c>
      <c r="R161" s="7">
        <v>304571.2</v>
      </c>
      <c r="S161" s="6">
        <f>R161*1000000/L161</f>
        <v>15341.808628754879</v>
      </c>
      <c r="T161" s="8">
        <f>LN(S161)</f>
        <v>9.6383369707584094</v>
      </c>
      <c r="U161" s="3">
        <f>IF(B161=2020,"",IF(A161=A160,(S161/S160-1)*100,""))</f>
        <v>8.4691249521279044</v>
      </c>
    </row>
    <row r="162" spans="1:21">
      <c r="A162" t="s">
        <v>65</v>
      </c>
      <c r="B162" s="1">
        <v>2020</v>
      </c>
      <c r="C162" s="6">
        <v>7036</v>
      </c>
      <c r="D162" s="6">
        <v>20152</v>
      </c>
      <c r="E162" s="6">
        <v>1800</v>
      </c>
      <c r="F162" s="3">
        <v>0.20258999999999999</v>
      </c>
      <c r="G162" s="3">
        <v>20.259</v>
      </c>
      <c r="H162" s="1">
        <v>1</v>
      </c>
      <c r="I162" s="6">
        <v>56642</v>
      </c>
      <c r="J162" s="3">
        <v>14</v>
      </c>
      <c r="K162" s="3">
        <v>5.4</v>
      </c>
      <c r="L162" s="2">
        <v>10386227</v>
      </c>
      <c r="M162" s="2">
        <v>1688354</v>
      </c>
      <c r="N162" s="3">
        <v>16.3</v>
      </c>
      <c r="O162" s="3">
        <v>10.7</v>
      </c>
      <c r="P162" s="1">
        <v>0</v>
      </c>
      <c r="Q162" t="s">
        <v>66</v>
      </c>
      <c r="R162" s="7">
        <v>83997.4</v>
      </c>
      <c r="S162" s="6">
        <f>R162*1000000/L162</f>
        <v>8087.3834165188182</v>
      </c>
      <c r="T162" s="8">
        <f>LN(S162)</f>
        <v>8.9980605234371023</v>
      </c>
      <c r="U162" s="3" t="str">
        <f>IF(B162=2020,"",IF(A162=A161,(S162/S161-1)*100,""))</f>
        <v/>
      </c>
    </row>
    <row r="163" spans="1:21">
      <c r="A163" t="s">
        <v>65</v>
      </c>
      <c r="B163" s="1">
        <v>2021</v>
      </c>
      <c r="C163" s="6">
        <v>7130</v>
      </c>
      <c r="D163" s="6">
        <v>22737</v>
      </c>
      <c r="E163" s="6">
        <v>2120</v>
      </c>
      <c r="F163" s="3">
        <v>0.21426999999999999</v>
      </c>
      <c r="G163" s="3">
        <v>21.427</v>
      </c>
      <c r="H163" s="1">
        <v>1</v>
      </c>
      <c r="I163" s="6">
        <v>60516</v>
      </c>
      <c r="J163" s="3">
        <v>13.7</v>
      </c>
      <c r="K163" s="3">
        <v>5.3</v>
      </c>
      <c r="L163" s="2">
        <v>10367022</v>
      </c>
      <c r="M163" s="2">
        <v>1686235</v>
      </c>
      <c r="N163" s="3">
        <v>16.3</v>
      </c>
      <c r="O163" s="3">
        <v>10.7</v>
      </c>
      <c r="P163" s="1">
        <v>0</v>
      </c>
      <c r="Q163" t="s">
        <v>66</v>
      </c>
      <c r="R163" s="7">
        <v>96768.4</v>
      </c>
      <c r="S163" s="6">
        <f>R163*1000000/L163</f>
        <v>9334.252401509324</v>
      </c>
      <c r="T163" s="8">
        <f>LN(S163)</f>
        <v>9.1414459672315065</v>
      </c>
      <c r="U163" s="3">
        <f>IF(B163=2020,"",IF(A163=A162,(S163/S162-1)*100,""))</f>
        <v>15.417458537253514</v>
      </c>
    </row>
    <row r="164" spans="1:21">
      <c r="A164" t="s">
        <v>65</v>
      </c>
      <c r="B164" s="1">
        <v>2022</v>
      </c>
      <c r="C164" s="6">
        <v>7753</v>
      </c>
      <c r="D164" s="6">
        <v>19945</v>
      </c>
      <c r="E164" s="6">
        <v>1780</v>
      </c>
      <c r="F164" s="3">
        <v>0.18242</v>
      </c>
      <c r="G164" s="3">
        <v>18.242000000000001</v>
      </c>
      <c r="H164" s="1">
        <v>1</v>
      </c>
      <c r="I164" s="6">
        <v>66186</v>
      </c>
      <c r="J164" s="3">
        <v>13.3</v>
      </c>
      <c r="K164" s="3">
        <v>5.0999999999999996</v>
      </c>
      <c r="L164" s="2">
        <v>10470214</v>
      </c>
      <c r="M164" s="2">
        <v>1747925</v>
      </c>
      <c r="N164" s="3">
        <v>16.7</v>
      </c>
      <c r="O164" s="3">
        <v>10.5</v>
      </c>
      <c r="P164" s="1">
        <v>0</v>
      </c>
      <c r="Q164" t="s">
        <v>66</v>
      </c>
      <c r="R164" s="7">
        <v>102916.2</v>
      </c>
      <c r="S164" s="6">
        <f>R164*1000000/L164</f>
        <v>9829.4266000675816</v>
      </c>
      <c r="T164" s="8">
        <f>LN(S164)</f>
        <v>9.1931358798088887</v>
      </c>
      <c r="U164" s="3">
        <f>IF(B164=2020,"",IF(A164=A163,(S164/S163-1)*100,""))</f>
        <v>5.3049154582341274</v>
      </c>
    </row>
    <row r="165" spans="1:21">
      <c r="A165" t="s">
        <v>65</v>
      </c>
      <c r="B165" s="1">
        <v>2023</v>
      </c>
      <c r="C165" s="6">
        <v>7742</v>
      </c>
      <c r="D165" s="6">
        <v>22650</v>
      </c>
      <c r="E165" s="6">
        <v>1800</v>
      </c>
      <c r="F165" s="3">
        <v>0.17365</v>
      </c>
      <c r="G165" s="3">
        <v>17.364999999999998</v>
      </c>
      <c r="H165" s="1">
        <v>1</v>
      </c>
      <c r="I165" s="6">
        <v>69904</v>
      </c>
      <c r="J165" s="3">
        <v>13.2</v>
      </c>
      <c r="K165" s="3">
        <v>4.8</v>
      </c>
      <c r="L165" s="2">
        <v>10584340</v>
      </c>
      <c r="M165" s="2">
        <v>1787027</v>
      </c>
      <c r="N165" s="3">
        <v>16.899999999999999</v>
      </c>
      <c r="O165" s="3">
        <v>10.4</v>
      </c>
      <c r="P165" s="1">
        <v>1</v>
      </c>
      <c r="Q165" t="s">
        <v>66</v>
      </c>
      <c r="R165" s="7">
        <v>112869.4</v>
      </c>
      <c r="S165" s="6">
        <f>R165*1000000/L165</f>
        <v>10663.810875312018</v>
      </c>
      <c r="T165" s="8">
        <f>LN(S165)</f>
        <v>9.2746111268280629</v>
      </c>
      <c r="U165" s="3">
        <f>IF(B165=2020,"",IF(A165=A164,(S165/S164-1)*100,""))</f>
        <v>8.4886363080294061</v>
      </c>
    </row>
    <row r="166" spans="1:21">
      <c r="A166" t="s">
        <v>65</v>
      </c>
      <c r="B166" s="1">
        <v>2024</v>
      </c>
      <c r="C166" s="6">
        <v>8045</v>
      </c>
      <c r="D166" s="6">
        <v>23120</v>
      </c>
      <c r="E166" s="6">
        <v>1400</v>
      </c>
      <c r="F166" s="3">
        <v>0.17432</v>
      </c>
      <c r="G166" s="3">
        <v>17.431999999999999</v>
      </c>
      <c r="H166" s="1">
        <v>1</v>
      </c>
      <c r="I166" s="6">
        <v>72388</v>
      </c>
      <c r="J166" s="3">
        <v>13</v>
      </c>
      <c r="K166" s="3">
        <v>4.7</v>
      </c>
      <c r="L166" s="2">
        <v>10730404</v>
      </c>
      <c r="M166" s="2">
        <v>1845563</v>
      </c>
      <c r="N166" s="3">
        <v>17.2</v>
      </c>
      <c r="O166" s="3">
        <v>9.9</v>
      </c>
      <c r="P166" s="1">
        <v>1</v>
      </c>
      <c r="Q166" t="s">
        <v>66</v>
      </c>
      <c r="R166" s="7">
        <v>122664.6</v>
      </c>
      <c r="S166" s="6">
        <f>R166*1000000/L166</f>
        <v>11431.49875810827</v>
      </c>
      <c r="T166" s="8">
        <f>LN(S166)</f>
        <v>9.3441278731365873</v>
      </c>
      <c r="U166" s="3">
        <f>IF(B166=2020,"",IF(A166=A165,(S166/S165-1)*100,""))</f>
        <v>7.1990012929949776</v>
      </c>
    </row>
    <row r="167" spans="1:21">
      <c r="A167" t="s">
        <v>67</v>
      </c>
      <c r="B167" s="1">
        <v>2020</v>
      </c>
      <c r="C167" s="6">
        <v>7216</v>
      </c>
      <c r="D167" s="6">
        <v>19925</v>
      </c>
      <c r="E167" s="6">
        <v>2400</v>
      </c>
      <c r="F167" s="3">
        <v>0.21239</v>
      </c>
      <c r="G167" s="3">
        <v>21.239000000000001</v>
      </c>
      <c r="H167" s="1">
        <v>0</v>
      </c>
      <c r="I167" s="6">
        <v>65315</v>
      </c>
      <c r="J167" s="3">
        <v>10.5</v>
      </c>
      <c r="K167" s="3">
        <v>3.1</v>
      </c>
      <c r="L167" s="2">
        <v>760394</v>
      </c>
      <c r="M167" s="2">
        <v>116406</v>
      </c>
      <c r="N167" s="3">
        <v>15.3</v>
      </c>
      <c r="O167" s="3">
        <v>7.2</v>
      </c>
      <c r="P167" s="1">
        <v>1</v>
      </c>
      <c r="Q167" t="s">
        <v>26</v>
      </c>
      <c r="R167" s="7">
        <v>8521.4</v>
      </c>
      <c r="S167" s="6">
        <f>R167*1000000/L167</f>
        <v>11206.55870509236</v>
      </c>
      <c r="T167" s="8">
        <f>LN(S167)</f>
        <v>9.324254484556155</v>
      </c>
      <c r="U167" s="3" t="str">
        <f>IF(B167=2020,"",IF(A167=A166,(S167/S166-1)*100,""))</f>
        <v/>
      </c>
    </row>
    <row r="168" spans="1:21">
      <c r="A168" t="s">
        <v>67</v>
      </c>
      <c r="B168" s="1">
        <v>2021</v>
      </c>
      <c r="C168" s="6">
        <v>7298</v>
      </c>
      <c r="D168" s="6">
        <v>20922</v>
      </c>
      <c r="E168" s="6">
        <v>3350</v>
      </c>
      <c r="F168" s="3">
        <v>0.23998</v>
      </c>
      <c r="G168" s="3">
        <v>23.998000000000001</v>
      </c>
      <c r="H168" s="1">
        <v>0</v>
      </c>
      <c r="I168" s="6">
        <v>68131</v>
      </c>
      <c r="J168" s="3">
        <v>10.7</v>
      </c>
      <c r="K168" s="3">
        <v>3.2</v>
      </c>
      <c r="L168" s="2">
        <v>773344</v>
      </c>
      <c r="M168" s="2">
        <v>118198</v>
      </c>
      <c r="N168" s="3">
        <v>15.3</v>
      </c>
      <c r="O168" s="3">
        <v>7.5</v>
      </c>
      <c r="P168" s="1">
        <v>1</v>
      </c>
      <c r="Q168" t="s">
        <v>26</v>
      </c>
      <c r="R168" s="7">
        <v>9361.7999999999993</v>
      </c>
      <c r="S168" s="6">
        <f>R168*1000000/L168</f>
        <v>12105.608888153267</v>
      </c>
      <c r="T168" s="8">
        <f>LN(S168)</f>
        <v>9.4014241686567583</v>
      </c>
      <c r="U168" s="3">
        <f>IF(B168=2020,"",IF(A168=A167,(S168/S167-1)*100,""))</f>
        <v>8.0225357910485897</v>
      </c>
    </row>
    <row r="169" spans="1:21">
      <c r="A169" t="s">
        <v>67</v>
      </c>
      <c r="B169" s="1">
        <v>2022</v>
      </c>
      <c r="C169" s="6">
        <v>7841</v>
      </c>
      <c r="D169" s="6">
        <v>22196</v>
      </c>
      <c r="E169" s="6">
        <v>2845</v>
      </c>
      <c r="F169" s="3">
        <v>0.16522999999999999</v>
      </c>
      <c r="G169" s="3">
        <v>16.523</v>
      </c>
      <c r="H169" s="1">
        <v>0</v>
      </c>
      <c r="I169" s="6">
        <v>73959</v>
      </c>
      <c r="J169" s="3">
        <v>10.8</v>
      </c>
      <c r="K169" s="3">
        <v>2.9</v>
      </c>
      <c r="L169" s="2">
        <v>776874</v>
      </c>
      <c r="M169" s="2">
        <v>123220</v>
      </c>
      <c r="N169" s="3">
        <v>15.9</v>
      </c>
      <c r="O169" s="3">
        <v>7.2</v>
      </c>
      <c r="P169" s="1">
        <v>1</v>
      </c>
      <c r="Q169" t="s">
        <v>26</v>
      </c>
      <c r="R169" s="7">
        <v>9907.5</v>
      </c>
      <c r="S169" s="6">
        <f>R169*1000000/L169</f>
        <v>12753.033310420995</v>
      </c>
      <c r="T169" s="8">
        <f>LN(S169)</f>
        <v>9.4535244289909475</v>
      </c>
      <c r="U169" s="3">
        <f>IF(B169=2020,"",IF(A169=A168,(S169/S168-1)*100,""))</f>
        <v>5.3481359611849522</v>
      </c>
    </row>
    <row r="170" spans="1:21">
      <c r="A170" t="s">
        <v>67</v>
      </c>
      <c r="B170" s="1">
        <v>2023</v>
      </c>
      <c r="C170" s="6">
        <v>8504</v>
      </c>
      <c r="D170" s="6">
        <v>22825</v>
      </c>
      <c r="E170" s="6">
        <v>3000</v>
      </c>
      <c r="F170" s="3">
        <v>0.19513</v>
      </c>
      <c r="G170" s="3">
        <v>19.512999999999998</v>
      </c>
      <c r="H170" s="1">
        <v>0</v>
      </c>
      <c r="I170" s="6">
        <v>75949</v>
      </c>
      <c r="J170" s="3">
        <v>10.6</v>
      </c>
      <c r="K170" s="3">
        <v>2.8</v>
      </c>
      <c r="L170" s="2">
        <v>779361</v>
      </c>
      <c r="M170" s="2">
        <v>126120</v>
      </c>
      <c r="N170" s="3">
        <v>16.2</v>
      </c>
      <c r="O170" s="3">
        <v>6.7</v>
      </c>
      <c r="P170" s="1">
        <v>1</v>
      </c>
      <c r="Q170" t="s">
        <v>26</v>
      </c>
      <c r="R170" s="7">
        <v>10483.1</v>
      </c>
      <c r="S170" s="6">
        <f>R170*1000000/L170</f>
        <v>13450.891178799042</v>
      </c>
      <c r="T170" s="8">
        <f>LN(S170)</f>
        <v>9.5068006414817461</v>
      </c>
      <c r="U170" s="3">
        <f>IF(B170=2020,"",IF(A170=A169,(S170/S169-1)*100,""))</f>
        <v>5.4720931984691079</v>
      </c>
    </row>
    <row r="171" spans="1:21">
      <c r="A171" t="s">
        <v>67</v>
      </c>
      <c r="B171" s="1">
        <v>2024</v>
      </c>
      <c r="C171" s="6">
        <v>8369</v>
      </c>
      <c r="D171" s="6">
        <v>23090</v>
      </c>
      <c r="E171" s="6">
        <v>3620</v>
      </c>
      <c r="F171" s="3">
        <v>0.19051999999999999</v>
      </c>
      <c r="G171" s="3">
        <v>19.052</v>
      </c>
      <c r="H171" s="1">
        <v>0</v>
      </c>
      <c r="I171" s="6">
        <v>76657</v>
      </c>
      <c r="J171" s="3">
        <v>10.8</v>
      </c>
      <c r="K171" s="3">
        <v>2.8</v>
      </c>
      <c r="L171" s="2">
        <v>784841</v>
      </c>
      <c r="M171" s="2">
        <v>129854</v>
      </c>
      <c r="N171" s="3">
        <v>16.5</v>
      </c>
      <c r="O171" s="3">
        <v>6.5</v>
      </c>
      <c r="P171" s="1">
        <v>1</v>
      </c>
      <c r="Q171" t="s">
        <v>26</v>
      </c>
      <c r="R171" s="7">
        <v>11211.1</v>
      </c>
      <c r="S171" s="6">
        <f>R171*1000000/L171</f>
        <v>14284.549354582648</v>
      </c>
      <c r="T171" s="8">
        <f>LN(S171)</f>
        <v>9.5669337674107116</v>
      </c>
      <c r="U171" s="3">
        <f>IF(B171=2020,"",IF(A171=A170,(S171/S170-1)*100,""))</f>
        <v>6.1977913931650752</v>
      </c>
    </row>
    <row r="172" spans="1:21">
      <c r="A172" t="s">
        <v>68</v>
      </c>
      <c r="B172" s="1">
        <v>2020</v>
      </c>
      <c r="C172" s="6">
        <v>6989</v>
      </c>
      <c r="D172" s="6">
        <v>20088</v>
      </c>
      <c r="E172" s="6">
        <v>2099</v>
      </c>
      <c r="F172" s="3">
        <v>0.2109</v>
      </c>
      <c r="G172" s="3">
        <v>21.09</v>
      </c>
      <c r="H172" s="1">
        <v>1</v>
      </c>
      <c r="I172" s="6">
        <v>58116</v>
      </c>
      <c r="J172" s="3">
        <v>13.6</v>
      </c>
      <c r="K172" s="3">
        <v>5.3</v>
      </c>
      <c r="L172" s="2">
        <v>11675275</v>
      </c>
      <c r="M172" s="2">
        <v>1990621</v>
      </c>
      <c r="N172" s="3">
        <v>17</v>
      </c>
      <c r="O172" s="3">
        <v>6.2</v>
      </c>
      <c r="P172" s="1">
        <v>1</v>
      </c>
      <c r="Q172" t="s">
        <v>26</v>
      </c>
      <c r="R172" s="7">
        <v>107985.8</v>
      </c>
      <c r="S172" s="6">
        <f>R172*1000000/L172</f>
        <v>9249.1011989010967</v>
      </c>
      <c r="T172" s="8">
        <f>LN(S172)</f>
        <v>9.1322816580990178</v>
      </c>
      <c r="U172" s="3" t="str">
        <f>IF(B172=2020,"",IF(A172=A171,(S172/S171-1)*100,""))</f>
        <v/>
      </c>
    </row>
    <row r="173" spans="1:21">
      <c r="A173" t="s">
        <v>68</v>
      </c>
      <c r="B173" s="1">
        <v>2021</v>
      </c>
      <c r="C173" s="6">
        <v>7095</v>
      </c>
      <c r="D173" s="6">
        <v>21102</v>
      </c>
      <c r="E173" s="6">
        <v>2350</v>
      </c>
      <c r="F173" s="3">
        <v>0.18556</v>
      </c>
      <c r="G173" s="3">
        <v>18.556000000000001</v>
      </c>
      <c r="H173" s="1">
        <v>1</v>
      </c>
      <c r="I173" s="6">
        <v>61938</v>
      </c>
      <c r="J173" s="3">
        <v>13.4</v>
      </c>
      <c r="K173" s="3">
        <v>5.3</v>
      </c>
      <c r="L173" s="2">
        <v>11769923</v>
      </c>
      <c r="M173" s="2">
        <v>2004802</v>
      </c>
      <c r="N173" s="3">
        <v>17</v>
      </c>
      <c r="O173" s="3">
        <v>6.3</v>
      </c>
      <c r="P173" s="1">
        <v>1</v>
      </c>
      <c r="Q173" t="s">
        <v>26</v>
      </c>
      <c r="R173" s="7">
        <v>117602.4</v>
      </c>
      <c r="S173" s="6">
        <f>R173*1000000/L173</f>
        <v>9991.77309826071</v>
      </c>
      <c r="T173" s="8">
        <f>LN(S173)</f>
        <v>9.2095173432069739</v>
      </c>
      <c r="U173" s="3">
        <f>IF(B173=2020,"",IF(A173=A172,(S173/S172-1)*100,""))</f>
        <v>8.02966562251315</v>
      </c>
    </row>
    <row r="174" spans="1:21">
      <c r="A174" t="s">
        <v>68</v>
      </c>
      <c r="B174" s="1">
        <v>2022</v>
      </c>
      <c r="C174" s="6">
        <v>7743</v>
      </c>
      <c r="D174" s="6">
        <v>21760</v>
      </c>
      <c r="E174" s="6">
        <v>2500</v>
      </c>
      <c r="F174" s="3">
        <v>0.18159</v>
      </c>
      <c r="G174" s="3">
        <v>18.158999999999999</v>
      </c>
      <c r="H174" s="1">
        <v>1</v>
      </c>
      <c r="I174" s="6">
        <v>66990</v>
      </c>
      <c r="J174" s="3">
        <v>13.3</v>
      </c>
      <c r="K174" s="3">
        <v>5</v>
      </c>
      <c r="L174" s="2">
        <v>11774683</v>
      </c>
      <c r="M174" s="2">
        <v>2068562</v>
      </c>
      <c r="N174" s="3">
        <v>17.600000000000001</v>
      </c>
      <c r="O174" s="3">
        <v>6.4</v>
      </c>
      <c r="P174" s="1">
        <v>1</v>
      </c>
      <c r="Q174" t="s">
        <v>26</v>
      </c>
      <c r="R174" s="7">
        <v>125623.9</v>
      </c>
      <c r="S174" s="6">
        <f>R174*1000000/L174</f>
        <v>10668.983615100296</v>
      </c>
      <c r="T174" s="8">
        <f>LN(S174)</f>
        <v>9.2750960834418805</v>
      </c>
      <c r="U174" s="3">
        <f>IF(B174=2020,"",IF(A174=A173,(S174/S173-1)*100,""))</f>
        <v>6.7776811000388903</v>
      </c>
    </row>
    <row r="175" spans="1:21">
      <c r="A175" t="s">
        <v>68</v>
      </c>
      <c r="B175" s="1">
        <v>2023</v>
      </c>
      <c r="C175" s="6">
        <v>8274</v>
      </c>
      <c r="D175" s="6">
        <v>23895</v>
      </c>
      <c r="E175" s="6">
        <v>2680</v>
      </c>
      <c r="F175" s="3">
        <v>0.16750999999999999</v>
      </c>
      <c r="G175" s="3">
        <v>16.750999999999998</v>
      </c>
      <c r="H175" s="1">
        <v>1</v>
      </c>
      <c r="I175" s="6">
        <v>69680</v>
      </c>
      <c r="J175" s="3">
        <v>13.2</v>
      </c>
      <c r="K175" s="3">
        <v>4.8</v>
      </c>
      <c r="L175" s="2">
        <v>11780046</v>
      </c>
      <c r="M175" s="2">
        <v>2103043</v>
      </c>
      <c r="N175" s="3">
        <v>17.899999999999999</v>
      </c>
      <c r="O175" s="3">
        <v>6.4</v>
      </c>
      <c r="P175" s="1">
        <v>1</v>
      </c>
      <c r="Q175" t="s">
        <v>26</v>
      </c>
      <c r="R175" s="7">
        <v>135039.1</v>
      </c>
      <c r="S175" s="6">
        <f>R175*1000000/L175</f>
        <v>11463.376289022981</v>
      </c>
      <c r="T175" s="8">
        <f>LN(S175)</f>
        <v>9.3469125619762163</v>
      </c>
      <c r="U175" s="3">
        <f>IF(B175=2020,"",IF(A175=A174,(S175/S174-1)*100,""))</f>
        <v>7.4458139836145687</v>
      </c>
    </row>
    <row r="176" spans="1:21">
      <c r="A176" t="s">
        <v>68</v>
      </c>
      <c r="B176" s="1">
        <v>2024</v>
      </c>
      <c r="C176" s="6">
        <v>8315</v>
      </c>
      <c r="D176" s="6">
        <v>22618</v>
      </c>
      <c r="E176" s="6">
        <v>2500</v>
      </c>
      <c r="F176" s="3">
        <v>0.15801999999999999</v>
      </c>
      <c r="G176" s="3">
        <v>15.802</v>
      </c>
      <c r="H176" s="1">
        <v>1</v>
      </c>
      <c r="I176" s="6">
        <v>71389</v>
      </c>
      <c r="J176" s="3">
        <v>13.3</v>
      </c>
      <c r="K176" s="3">
        <v>4.8</v>
      </c>
      <c r="L176" s="2">
        <v>11810293</v>
      </c>
      <c r="M176" s="2">
        <v>2155577</v>
      </c>
      <c r="N176" s="3">
        <v>18.3</v>
      </c>
      <c r="O176" s="3">
        <v>6.4</v>
      </c>
      <c r="P176" s="1">
        <v>1</v>
      </c>
      <c r="Q176" t="s">
        <v>26</v>
      </c>
      <c r="R176" s="7">
        <v>145331.70000000001</v>
      </c>
      <c r="S176" s="6">
        <f>R176*1000000/L176</f>
        <v>12305.51181075694</v>
      </c>
      <c r="T176" s="8">
        <f>LN(S176)</f>
        <v>9.4178025556827887</v>
      </c>
      <c r="U176" s="3">
        <f>IF(B176=2020,"",IF(A176=A175,(S176/S175-1)*100,""))</f>
        <v>7.3463131672678816</v>
      </c>
    </row>
    <row r="177" spans="1:21">
      <c r="A177" t="s">
        <v>69</v>
      </c>
      <c r="B177" s="1">
        <v>2020</v>
      </c>
      <c r="C177" s="6">
        <v>7058</v>
      </c>
      <c r="D177" s="6">
        <v>19764</v>
      </c>
      <c r="E177" s="6">
        <v>1200</v>
      </c>
      <c r="F177" s="3">
        <v>0.19674</v>
      </c>
      <c r="G177" s="3">
        <v>19.673999999999999</v>
      </c>
      <c r="H177" s="1">
        <v>1</v>
      </c>
      <c r="I177" s="6">
        <v>53840</v>
      </c>
      <c r="J177" s="3">
        <v>15.3</v>
      </c>
      <c r="K177" s="3">
        <v>5.0999999999999996</v>
      </c>
      <c r="L177" s="2">
        <v>3949342</v>
      </c>
      <c r="M177" s="2">
        <v>619195</v>
      </c>
      <c r="N177" s="3">
        <v>15.7</v>
      </c>
      <c r="O177" s="3">
        <v>14.4</v>
      </c>
      <c r="P177" s="1">
        <v>0</v>
      </c>
      <c r="Q177" t="s">
        <v>70</v>
      </c>
      <c r="R177" s="7">
        <v>31392.6</v>
      </c>
      <c r="S177" s="6">
        <f>R177*1000000/L177</f>
        <v>7948.8178030669415</v>
      </c>
      <c r="T177" s="8">
        <f>LN(S177)</f>
        <v>8.9807784925741014</v>
      </c>
      <c r="U177" s="3" t="str">
        <f>IF(B177=2020,"",IF(A177=A176,(S177/S176-1)*100,""))</f>
        <v/>
      </c>
    </row>
    <row r="178" spans="1:21">
      <c r="A178" t="s">
        <v>69</v>
      </c>
      <c r="B178" s="1">
        <v>2021</v>
      </c>
      <c r="C178" s="6">
        <v>7081</v>
      </c>
      <c r="D178" s="6">
        <v>20108</v>
      </c>
      <c r="E178" s="6">
        <v>1440</v>
      </c>
      <c r="F178" s="3">
        <v>0.1807</v>
      </c>
      <c r="G178" s="3">
        <v>18.07</v>
      </c>
      <c r="H178" s="1">
        <v>1</v>
      </c>
      <c r="I178" s="6">
        <v>56956</v>
      </c>
      <c r="J178" s="3">
        <v>15.2</v>
      </c>
      <c r="K178" s="3">
        <v>5</v>
      </c>
      <c r="L178" s="2">
        <v>3948136</v>
      </c>
      <c r="M178" s="2">
        <v>615832</v>
      </c>
      <c r="N178" s="3">
        <v>15.6</v>
      </c>
      <c r="O178" s="3">
        <v>14.3</v>
      </c>
      <c r="P178" s="1">
        <v>1</v>
      </c>
      <c r="Q178" t="s">
        <v>70</v>
      </c>
      <c r="R178" s="7">
        <v>34604.9</v>
      </c>
      <c r="S178" s="6">
        <f>R178*1000000/L178</f>
        <v>8764.8703084189601</v>
      </c>
      <c r="T178" s="8">
        <f>LN(S178)</f>
        <v>9.0785070007163675</v>
      </c>
      <c r="U178" s="3">
        <f>IF(B178=2020,"",IF(A178=A177,(S178/S177-1)*100,""))</f>
        <v>10.266338033778499</v>
      </c>
    </row>
    <row r="179" spans="1:21">
      <c r="A179" t="s">
        <v>69</v>
      </c>
      <c r="B179" s="1">
        <v>2022</v>
      </c>
      <c r="C179" s="6">
        <v>6713</v>
      </c>
      <c r="D179" s="6">
        <v>19003</v>
      </c>
      <c r="E179" s="6">
        <v>1100</v>
      </c>
      <c r="F179" s="3">
        <v>0.16536000000000001</v>
      </c>
      <c r="G179" s="3">
        <v>16.536000000000001</v>
      </c>
      <c r="H179" s="1">
        <v>1</v>
      </c>
      <c r="I179" s="6">
        <v>61364</v>
      </c>
      <c r="J179" s="3">
        <v>15.2</v>
      </c>
      <c r="K179" s="3">
        <v>4.9000000000000004</v>
      </c>
      <c r="L179" s="2">
        <v>3970497</v>
      </c>
      <c r="M179" s="2">
        <v>632751</v>
      </c>
      <c r="N179" s="3">
        <v>15.9</v>
      </c>
      <c r="O179" s="3">
        <v>13.9</v>
      </c>
      <c r="P179" s="1">
        <v>1</v>
      </c>
      <c r="Q179" t="s">
        <v>70</v>
      </c>
      <c r="R179" s="7">
        <v>37798.300000000003</v>
      </c>
      <c r="S179" s="6">
        <f>R179*1000000/L179</f>
        <v>9519.7905954846465</v>
      </c>
      <c r="T179" s="8">
        <f>LN(S179)</f>
        <v>9.1611281312708677</v>
      </c>
      <c r="U179" s="3">
        <f>IF(B179=2020,"",IF(A179=A178,(S179/S178-1)*100,""))</f>
        <v>8.6130229028096306</v>
      </c>
    </row>
    <row r="180" spans="1:21">
      <c r="A180" t="s">
        <v>69</v>
      </c>
      <c r="B180" s="1">
        <v>2023</v>
      </c>
      <c r="C180" s="6">
        <v>7420</v>
      </c>
      <c r="D180" s="6">
        <v>21913</v>
      </c>
      <c r="E180" s="6">
        <v>1450</v>
      </c>
      <c r="F180" s="3">
        <v>0.13206000000000001</v>
      </c>
      <c r="G180" s="3">
        <v>13.206000000000001</v>
      </c>
      <c r="H180" s="1">
        <v>1</v>
      </c>
      <c r="I180" s="6">
        <v>63603</v>
      </c>
      <c r="J180" s="3">
        <v>15.3</v>
      </c>
      <c r="K180" s="3">
        <v>4.9000000000000004</v>
      </c>
      <c r="L180" s="2">
        <v>3995260</v>
      </c>
      <c r="M180" s="2">
        <v>642174</v>
      </c>
      <c r="N180" s="3">
        <v>16.100000000000001</v>
      </c>
      <c r="O180" s="3">
        <v>13.4</v>
      </c>
      <c r="P180" s="1">
        <v>1</v>
      </c>
      <c r="Q180" t="s">
        <v>70</v>
      </c>
      <c r="R180" s="7">
        <v>41350.400000000001</v>
      </c>
      <c r="S180" s="6">
        <f>R180*1000000/L180</f>
        <v>10349.864589538603</v>
      </c>
      <c r="T180" s="8">
        <f>LN(S180)</f>
        <v>9.2447287154715632</v>
      </c>
      <c r="U180" s="3">
        <f>IF(B180=2020,"",IF(A180=A179,(S180/S179-1)*100,""))</f>
        <v>8.7194564389648566</v>
      </c>
    </row>
    <row r="181" spans="1:21">
      <c r="A181" t="s">
        <v>69</v>
      </c>
      <c r="B181" s="1">
        <v>2024</v>
      </c>
      <c r="C181" s="6">
        <v>7759</v>
      </c>
      <c r="D181" s="6">
        <v>23050</v>
      </c>
      <c r="E181" s="6">
        <v>1750</v>
      </c>
      <c r="F181" s="3">
        <v>0.18149999999999999</v>
      </c>
      <c r="G181" s="3">
        <v>18.149999999999999</v>
      </c>
      <c r="H181" s="1">
        <v>1</v>
      </c>
      <c r="I181" s="6">
        <v>65039</v>
      </c>
      <c r="J181" s="3">
        <v>15.3</v>
      </c>
      <c r="K181" s="3">
        <v>5</v>
      </c>
      <c r="L181" s="2">
        <v>4028634</v>
      </c>
      <c r="M181" s="2">
        <v>657746</v>
      </c>
      <c r="N181" s="3">
        <v>16.3</v>
      </c>
      <c r="O181" s="3">
        <v>12.9</v>
      </c>
      <c r="P181" s="1">
        <v>1</v>
      </c>
      <c r="Q181" t="s">
        <v>70</v>
      </c>
      <c r="R181" s="7">
        <v>44730.8</v>
      </c>
      <c r="S181" s="6">
        <f>R181*1000000/L181</f>
        <v>11103.217616690918</v>
      </c>
      <c r="T181" s="8">
        <f>LN(S181)</f>
        <v>9.3149902206722359</v>
      </c>
      <c r="U181" s="3">
        <f>IF(B181=2020,"",IF(A181=A180,(S181/S180-1)*100,""))</f>
        <v>7.2788684396295045</v>
      </c>
    </row>
    <row r="182" spans="1:21">
      <c r="A182" t="s">
        <v>71</v>
      </c>
      <c r="B182" s="1">
        <v>2020</v>
      </c>
      <c r="C182" s="6">
        <v>6917</v>
      </c>
      <c r="D182" s="6">
        <v>20213</v>
      </c>
      <c r="E182" s="6">
        <v>2076</v>
      </c>
      <c r="F182" s="3">
        <v>0.18648000000000001</v>
      </c>
      <c r="G182" s="3">
        <v>18.648</v>
      </c>
      <c r="H182" s="1">
        <v>1</v>
      </c>
      <c r="I182" s="6">
        <v>65667</v>
      </c>
      <c r="J182" s="3">
        <v>12.4</v>
      </c>
      <c r="K182" s="3">
        <v>5.5</v>
      </c>
      <c r="L182" s="2">
        <v>4176346</v>
      </c>
      <c r="M182" s="2">
        <v>734932</v>
      </c>
      <c r="N182" s="3">
        <v>17.600000000000001</v>
      </c>
      <c r="O182" s="3">
        <v>6.6</v>
      </c>
      <c r="P182" s="1">
        <v>1</v>
      </c>
      <c r="Q182" t="s">
        <v>26</v>
      </c>
      <c r="R182" s="7">
        <v>35410.6</v>
      </c>
      <c r="S182" s="6">
        <f>R182*1000000/L182</f>
        <v>8478.8472985715271</v>
      </c>
      <c r="T182" s="8">
        <f>LN(S182)</f>
        <v>9.045329787774163</v>
      </c>
      <c r="U182" s="3" t="str">
        <f>IF(B182=2020,"",IF(A182=A181,(S182/S181-1)*100,""))</f>
        <v/>
      </c>
    </row>
    <row r="183" spans="1:21">
      <c r="A183" t="s">
        <v>71</v>
      </c>
      <c r="B183" s="1">
        <v>2021</v>
      </c>
      <c r="C183" s="6">
        <v>7418</v>
      </c>
      <c r="D183" s="6">
        <v>20916</v>
      </c>
      <c r="E183" s="6">
        <v>1900</v>
      </c>
      <c r="F183" s="3">
        <v>0.14219000000000001</v>
      </c>
      <c r="G183" s="3">
        <v>14.219000000000001</v>
      </c>
      <c r="H183" s="1">
        <v>1</v>
      </c>
      <c r="I183" s="6">
        <v>70084</v>
      </c>
      <c r="J183" s="3">
        <v>12.1</v>
      </c>
      <c r="K183" s="3">
        <v>5.6</v>
      </c>
      <c r="L183" s="2">
        <v>4207177</v>
      </c>
      <c r="M183" s="2">
        <v>743125</v>
      </c>
      <c r="N183" s="3">
        <v>17.7</v>
      </c>
      <c r="O183" s="3">
        <v>6.7</v>
      </c>
      <c r="P183" s="1">
        <v>1</v>
      </c>
      <c r="Q183" t="s">
        <v>26</v>
      </c>
      <c r="R183" s="7">
        <v>39276.5</v>
      </c>
      <c r="S183" s="6">
        <f>R183*1000000/L183</f>
        <v>9335.594865630801</v>
      </c>
      <c r="T183" s="8">
        <f>LN(S183)</f>
        <v>9.1415897781694948</v>
      </c>
      <c r="U183" s="3">
        <f>IF(B183=2020,"",IF(A183=A182,(S183/S182-1)*100,""))</f>
        <v>10.104528798432465</v>
      </c>
    </row>
    <row r="184" spans="1:21">
      <c r="A184" t="s">
        <v>71</v>
      </c>
      <c r="B184" s="1">
        <v>2022</v>
      </c>
      <c r="C184" s="6">
        <v>7091</v>
      </c>
      <c r="D184" s="6">
        <v>20366</v>
      </c>
      <c r="E184" s="6">
        <v>2000</v>
      </c>
      <c r="F184" s="3">
        <v>0.14244000000000001</v>
      </c>
      <c r="G184" s="3">
        <v>14.244000000000002</v>
      </c>
      <c r="H184" s="1">
        <v>1</v>
      </c>
      <c r="I184" s="6">
        <v>76632</v>
      </c>
      <c r="J184" s="3">
        <v>11.9</v>
      </c>
      <c r="K184" s="3">
        <v>5.5</v>
      </c>
      <c r="L184" s="2">
        <v>4229374</v>
      </c>
      <c r="M184" s="2">
        <v>773258</v>
      </c>
      <c r="N184" s="3">
        <v>18.3</v>
      </c>
      <c r="O184" s="3">
        <v>6.5</v>
      </c>
      <c r="P184" s="1">
        <v>1</v>
      </c>
      <c r="Q184" t="s">
        <v>26</v>
      </c>
      <c r="R184" s="7">
        <v>41871.300000000003</v>
      </c>
      <c r="S184" s="6">
        <f>R184*1000000/L184</f>
        <v>9900.117606057067</v>
      </c>
      <c r="T184" s="8">
        <f>LN(S184)</f>
        <v>9.200301915451826</v>
      </c>
      <c r="U184" s="3">
        <f>IF(B184=2020,"",IF(A184=A183,(S184/S183-1)*100,""))</f>
        <v>6.0469927042846372</v>
      </c>
    </row>
    <row r="185" spans="1:21">
      <c r="A185" t="s">
        <v>71</v>
      </c>
      <c r="B185" s="1">
        <v>2023</v>
      </c>
      <c r="C185" s="6">
        <v>7962</v>
      </c>
      <c r="D185" s="6">
        <v>22796</v>
      </c>
      <c r="E185" s="6">
        <v>1800</v>
      </c>
      <c r="F185" s="3">
        <v>0.15570000000000001</v>
      </c>
      <c r="G185" s="3">
        <v>15.57</v>
      </c>
      <c r="H185" s="1">
        <v>1</v>
      </c>
      <c r="I185" s="6">
        <v>80426</v>
      </c>
      <c r="J185" s="3">
        <v>11.9</v>
      </c>
      <c r="K185" s="3">
        <v>5.4</v>
      </c>
      <c r="L185" s="2">
        <v>4238714</v>
      </c>
      <c r="M185" s="2">
        <v>789610</v>
      </c>
      <c r="N185" s="3">
        <v>18.600000000000001</v>
      </c>
      <c r="O185" s="3">
        <v>6.2</v>
      </c>
      <c r="P185" s="1">
        <v>1</v>
      </c>
      <c r="Q185" t="s">
        <v>26</v>
      </c>
      <c r="R185" s="7">
        <v>45029.4</v>
      </c>
      <c r="S185" s="6">
        <f>R185*1000000/L185</f>
        <v>10623.363595656607</v>
      </c>
      <c r="T185" s="8">
        <f>LN(S185)</f>
        <v>9.2708109674047261</v>
      </c>
      <c r="U185" s="3">
        <f>IF(B185=2020,"",IF(A185=A184,(S185/S184-1)*100,""))</f>
        <v>7.3054282623576716</v>
      </c>
    </row>
    <row r="186" spans="1:21">
      <c r="A186" t="s">
        <v>71</v>
      </c>
      <c r="B186" s="1">
        <v>2024</v>
      </c>
      <c r="C186" s="6">
        <v>8382</v>
      </c>
      <c r="D186" s="6">
        <v>24688</v>
      </c>
      <c r="E186" s="6">
        <v>1800</v>
      </c>
      <c r="F186" s="3">
        <v>0.13457</v>
      </c>
      <c r="G186" s="3">
        <v>13.456999999999999</v>
      </c>
      <c r="H186" s="1">
        <v>1</v>
      </c>
      <c r="I186" s="6">
        <v>83011</v>
      </c>
      <c r="J186" s="3">
        <v>11.9</v>
      </c>
      <c r="K186" s="3">
        <v>5.4</v>
      </c>
      <c r="L186" s="2">
        <v>4254293</v>
      </c>
      <c r="M186" s="2">
        <v>810852</v>
      </c>
      <c r="N186" s="3">
        <v>19.100000000000001</v>
      </c>
      <c r="O186" s="3">
        <v>5.9</v>
      </c>
      <c r="P186" s="1">
        <v>1</v>
      </c>
      <c r="Q186" t="s">
        <v>26</v>
      </c>
      <c r="R186" s="7">
        <v>49000.2</v>
      </c>
      <c r="S186" s="6">
        <f>R186*1000000/L186</f>
        <v>11517.824465780801</v>
      </c>
      <c r="T186" s="8">
        <f>LN(S186)</f>
        <v>9.3516510679592386</v>
      </c>
      <c r="U186" s="3">
        <f>IF(B186=2020,"",IF(A186=A185,(S186/S185-1)*100,""))</f>
        <v>8.4197520123466152</v>
      </c>
    </row>
    <row r="187" spans="1:21">
      <c r="A187" t="s">
        <v>72</v>
      </c>
      <c r="B187" s="1">
        <v>2020</v>
      </c>
      <c r="C187" s="6">
        <v>7246</v>
      </c>
      <c r="D187" s="6">
        <v>19764</v>
      </c>
      <c r="E187" s="6">
        <v>2000</v>
      </c>
      <c r="F187" s="3">
        <v>0.16117000000000001</v>
      </c>
      <c r="G187" s="3">
        <v>16.117000000000001</v>
      </c>
      <c r="H187" s="1">
        <v>0</v>
      </c>
      <c r="I187" s="6">
        <v>63627</v>
      </c>
      <c r="J187" s="3">
        <v>12</v>
      </c>
      <c r="K187" s="3">
        <v>5.4</v>
      </c>
      <c r="L187" s="2">
        <v>12794885</v>
      </c>
      <c r="M187" s="2">
        <v>2335104</v>
      </c>
      <c r="N187" s="3">
        <v>18.3</v>
      </c>
      <c r="O187" s="3">
        <v>5.6</v>
      </c>
      <c r="P187" s="1">
        <v>1</v>
      </c>
      <c r="Q187" t="s">
        <v>73</v>
      </c>
      <c r="R187" s="7">
        <v>129410.8</v>
      </c>
      <c r="S187" s="6">
        <f>R187*1000000/L187</f>
        <v>10114.260503318319</v>
      </c>
      <c r="T187" s="8">
        <f>LN(S187)</f>
        <v>9.2217016380136201</v>
      </c>
      <c r="U187" s="3" t="str">
        <f>IF(B187=2020,"",IF(A187=A186,(S187/S186-1)*100,""))</f>
        <v/>
      </c>
    </row>
    <row r="188" spans="1:21">
      <c r="A188" t="s">
        <v>72</v>
      </c>
      <c r="B188" s="1">
        <v>2021</v>
      </c>
      <c r="C188" s="6">
        <v>7438</v>
      </c>
      <c r="D188" s="6">
        <v>21531</v>
      </c>
      <c r="E188" s="6">
        <v>2000</v>
      </c>
      <c r="F188" s="3">
        <v>0.16106999999999999</v>
      </c>
      <c r="G188" s="3">
        <v>16.106999999999999</v>
      </c>
      <c r="H188" s="1">
        <v>0</v>
      </c>
      <c r="I188" s="6">
        <v>67587</v>
      </c>
      <c r="J188" s="3">
        <v>11.8</v>
      </c>
      <c r="K188" s="3">
        <v>5.5</v>
      </c>
      <c r="L188" s="2">
        <v>12970650</v>
      </c>
      <c r="M188" s="2">
        <v>2361790</v>
      </c>
      <c r="N188" s="3">
        <v>18.2</v>
      </c>
      <c r="O188" s="3">
        <v>5.6</v>
      </c>
      <c r="P188" s="1">
        <v>1</v>
      </c>
      <c r="Q188" t="s">
        <v>73</v>
      </c>
      <c r="R188" s="7">
        <v>138615.1</v>
      </c>
      <c r="S188" s="6">
        <f>R188*1000000/L188</f>
        <v>10686.8275683948</v>
      </c>
      <c r="T188" s="8">
        <f>LN(S188)</f>
        <v>9.2767671936885279</v>
      </c>
      <c r="U188" s="3">
        <f>IF(B188=2020,"",IF(A188=A187,(S188/S187-1)*100,""))</f>
        <v>5.6609879178871392</v>
      </c>
    </row>
    <row r="189" spans="1:21">
      <c r="A189" t="s">
        <v>72</v>
      </c>
      <c r="B189" s="1">
        <v>2022</v>
      </c>
      <c r="C189" s="6">
        <v>8098</v>
      </c>
      <c r="D189" s="6">
        <v>23250</v>
      </c>
      <c r="E189" s="6">
        <v>1833</v>
      </c>
      <c r="F189" s="3">
        <v>0.13278999999999999</v>
      </c>
      <c r="G189" s="3">
        <v>13.279</v>
      </c>
      <c r="H189" s="1">
        <v>0</v>
      </c>
      <c r="I189" s="6">
        <v>73170</v>
      </c>
      <c r="J189" s="3">
        <v>11.8</v>
      </c>
      <c r="K189" s="3">
        <v>5.4</v>
      </c>
      <c r="L189" s="2">
        <v>12989208</v>
      </c>
      <c r="M189" s="2">
        <v>2434405</v>
      </c>
      <c r="N189" s="3">
        <v>18.7</v>
      </c>
      <c r="O189" s="3">
        <v>5.6</v>
      </c>
      <c r="P189" s="1">
        <v>1</v>
      </c>
      <c r="Q189" t="s">
        <v>73</v>
      </c>
      <c r="R189" s="7">
        <v>148283.20000000001</v>
      </c>
      <c r="S189" s="6">
        <f>R189*1000000/L189</f>
        <v>11415.876934144098</v>
      </c>
      <c r="T189" s="8">
        <f>LN(S189)</f>
        <v>9.342760378978042</v>
      </c>
      <c r="U189" s="3">
        <f>IF(B189=2020,"",IF(A189=A188,(S189/S188-1)*100,""))</f>
        <v>6.821943753498827</v>
      </c>
    </row>
    <row r="190" spans="1:21">
      <c r="A190" t="s">
        <v>72</v>
      </c>
      <c r="B190" s="1">
        <v>2023</v>
      </c>
      <c r="C190" s="6">
        <v>8145</v>
      </c>
      <c r="D190" s="6">
        <v>24000</v>
      </c>
      <c r="E190" s="6">
        <v>2000</v>
      </c>
      <c r="F190" s="3">
        <v>0.15831999999999999</v>
      </c>
      <c r="G190" s="3">
        <v>15.831999999999999</v>
      </c>
      <c r="H190" s="1">
        <v>0</v>
      </c>
      <c r="I190" s="6">
        <v>76081</v>
      </c>
      <c r="J190" s="3">
        <v>11.8</v>
      </c>
      <c r="K190" s="3">
        <v>5.2</v>
      </c>
      <c r="L190" s="2">
        <v>12986518</v>
      </c>
      <c r="M190" s="2">
        <v>2476241</v>
      </c>
      <c r="N190" s="3">
        <v>19.100000000000001</v>
      </c>
      <c r="O190" s="3">
        <v>5.6</v>
      </c>
      <c r="P190" s="1">
        <v>1</v>
      </c>
      <c r="Q190" t="s">
        <v>73</v>
      </c>
      <c r="R190" s="7">
        <v>158577.20000000001</v>
      </c>
      <c r="S190" s="6">
        <f>R190*1000000/L190</f>
        <v>12210.90980661637</v>
      </c>
      <c r="T190" s="8">
        <f>LN(S190)</f>
        <v>9.4100850775651708</v>
      </c>
      <c r="U190" s="3">
        <f>IF(B190=2020,"",IF(A190=A189,(S190/S189-1)*100,""))</f>
        <v>6.9642733279156488</v>
      </c>
    </row>
    <row r="191" spans="1:21">
      <c r="A191" t="s">
        <v>72</v>
      </c>
      <c r="B191" s="1">
        <v>2024</v>
      </c>
      <c r="C191" s="6">
        <v>8594</v>
      </c>
      <c r="D191" s="6">
        <v>25241</v>
      </c>
      <c r="E191" s="6">
        <v>1900</v>
      </c>
      <c r="F191" s="3">
        <v>0.14077999999999999</v>
      </c>
      <c r="G191" s="3">
        <v>14.077999999999999</v>
      </c>
      <c r="H191" s="1">
        <v>0</v>
      </c>
      <c r="I191" s="6">
        <v>77971</v>
      </c>
      <c r="J191" s="3">
        <v>11.7</v>
      </c>
      <c r="K191" s="3">
        <v>5.3</v>
      </c>
      <c r="L191" s="2">
        <v>13018639</v>
      </c>
      <c r="M191" s="2">
        <v>2535503</v>
      </c>
      <c r="N191" s="3">
        <v>19.5</v>
      </c>
      <c r="O191" s="3">
        <v>5.6</v>
      </c>
      <c r="P191" s="1">
        <v>1</v>
      </c>
      <c r="Q191" t="s">
        <v>73</v>
      </c>
      <c r="R191" s="7">
        <v>170524.79999999999</v>
      </c>
      <c r="S191" s="6">
        <f>R191*1000000/L191</f>
        <v>13098.512064125904</v>
      </c>
      <c r="T191" s="8">
        <f>LN(S191)</f>
        <v>9.4802539198470654</v>
      </c>
      <c r="U191" s="3">
        <f>IF(B191=2020,"",IF(A191=A190,(S191/S190-1)*100,""))</f>
        <v>7.2689281271129724</v>
      </c>
    </row>
    <row r="192" spans="1:21">
      <c r="A192" t="s">
        <v>74</v>
      </c>
      <c r="B192" s="1">
        <v>2020</v>
      </c>
      <c r="C192" s="6">
        <v>7326</v>
      </c>
      <c r="D192" s="6">
        <v>21425</v>
      </c>
      <c r="E192" s="6">
        <v>2350</v>
      </c>
      <c r="F192" s="3">
        <v>0.12717999999999999</v>
      </c>
      <c r="G192" s="3">
        <v>12.717999999999998</v>
      </c>
      <c r="H192" s="1">
        <v>1</v>
      </c>
      <c r="I192" s="6">
        <v>70305</v>
      </c>
      <c r="J192" s="3">
        <v>11.6</v>
      </c>
      <c r="K192" s="3">
        <v>5.5</v>
      </c>
      <c r="L192" s="2">
        <v>1057798</v>
      </c>
      <c r="M192" s="2">
        <v>182486</v>
      </c>
      <c r="N192" s="3">
        <v>17.3</v>
      </c>
      <c r="O192" s="3">
        <v>4.3</v>
      </c>
      <c r="P192" s="1">
        <v>1</v>
      </c>
      <c r="Q192" t="s">
        <v>26</v>
      </c>
      <c r="R192" s="7">
        <v>10098.9</v>
      </c>
      <c r="S192" s="6">
        <f>R192*1000000/L192</f>
        <v>9547.0968937358557</v>
      </c>
      <c r="T192" s="8">
        <f>LN(S192)</f>
        <v>9.1639923970756669</v>
      </c>
      <c r="U192" s="3" t="str">
        <f>IF(B192=2020,"",IF(A192=A191,(S192/S191-1)*100,""))</f>
        <v/>
      </c>
    </row>
    <row r="193" spans="1:21">
      <c r="A193" t="s">
        <v>74</v>
      </c>
      <c r="B193" s="1">
        <v>2021</v>
      </c>
      <c r="C193" s="6">
        <v>8125</v>
      </c>
      <c r="D193" s="6">
        <v>22381</v>
      </c>
      <c r="E193" s="6">
        <v>1900</v>
      </c>
      <c r="F193" s="3">
        <v>0.13982</v>
      </c>
      <c r="G193" s="3">
        <v>13.981999999999999</v>
      </c>
      <c r="H193" s="1">
        <v>1</v>
      </c>
      <c r="I193" s="6">
        <v>74489</v>
      </c>
      <c r="J193" s="3">
        <v>11.3</v>
      </c>
      <c r="K193" s="3">
        <v>6</v>
      </c>
      <c r="L193" s="2">
        <v>1091949</v>
      </c>
      <c r="M193" s="2">
        <v>188586</v>
      </c>
      <c r="N193" s="3">
        <v>17.3</v>
      </c>
      <c r="O193" s="3">
        <v>4.4000000000000004</v>
      </c>
      <c r="P193" s="1">
        <v>1</v>
      </c>
      <c r="Q193" t="s">
        <v>26</v>
      </c>
      <c r="R193" s="7">
        <v>10927.6</v>
      </c>
      <c r="S193" s="6">
        <f>R193*1000000/L193</f>
        <v>10007.427086796179</v>
      </c>
      <c r="T193" s="8">
        <f>LN(S193)</f>
        <v>9.211082804984196</v>
      </c>
      <c r="U193" s="3">
        <f>IF(B193=2020,"",IF(A193=A192,(S193/S192-1)*100,""))</f>
        <v>4.8216771881969711</v>
      </c>
    </row>
    <row r="194" spans="1:21">
      <c r="A194" t="s">
        <v>74</v>
      </c>
      <c r="B194" s="1">
        <v>2022</v>
      </c>
      <c r="C194" s="6">
        <v>8215</v>
      </c>
      <c r="D194" s="6">
        <v>22955</v>
      </c>
      <c r="E194" s="6">
        <v>2000</v>
      </c>
      <c r="F194" s="3">
        <v>0.12509000000000001</v>
      </c>
      <c r="G194" s="3">
        <v>12.509</v>
      </c>
      <c r="H194" s="1">
        <v>1</v>
      </c>
      <c r="I194" s="6">
        <v>81370</v>
      </c>
      <c r="J194" s="3">
        <v>11.2</v>
      </c>
      <c r="K194" s="3">
        <v>5.9</v>
      </c>
      <c r="L194" s="2">
        <v>1094250</v>
      </c>
      <c r="M194" s="2">
        <v>195378</v>
      </c>
      <c r="N194" s="3">
        <v>17.899999999999999</v>
      </c>
      <c r="O194" s="3">
        <v>4.3</v>
      </c>
      <c r="P194" s="1">
        <v>1</v>
      </c>
      <c r="Q194" t="s">
        <v>26</v>
      </c>
      <c r="R194" s="7">
        <v>11424.9</v>
      </c>
      <c r="S194" s="6">
        <f>R194*1000000/L194</f>
        <v>10440.849897189855</v>
      </c>
      <c r="T194" s="8">
        <f>LN(S194)</f>
        <v>9.2534812659000032</v>
      </c>
      <c r="U194" s="3">
        <f>IF(B194=2020,"",IF(A194=A193,(S194/S193-1)*100,""))</f>
        <v>4.3310114241605246</v>
      </c>
    </row>
    <row r="195" spans="1:21">
      <c r="A195" t="s">
        <v>74</v>
      </c>
      <c r="B195" s="1">
        <v>2023</v>
      </c>
      <c r="C195" s="6">
        <v>8347</v>
      </c>
      <c r="D195" s="6">
        <v>23412</v>
      </c>
      <c r="E195" s="6">
        <v>1550</v>
      </c>
      <c r="F195" s="3">
        <v>0.10672</v>
      </c>
      <c r="G195" s="3">
        <v>10.671999999999999</v>
      </c>
      <c r="H195" s="1">
        <v>1</v>
      </c>
      <c r="I195" s="6">
        <v>86372</v>
      </c>
      <c r="J195" s="3">
        <v>10.9</v>
      </c>
      <c r="K195" s="3">
        <v>5.7</v>
      </c>
      <c r="L195" s="2">
        <v>1095371</v>
      </c>
      <c r="M195" s="2">
        <v>199921</v>
      </c>
      <c r="N195" s="3">
        <v>18.3</v>
      </c>
      <c r="O195" s="3">
        <v>4.3</v>
      </c>
      <c r="P195" s="1">
        <v>1</v>
      </c>
      <c r="Q195" t="s">
        <v>26</v>
      </c>
      <c r="R195" s="7">
        <v>12485.8</v>
      </c>
      <c r="S195" s="6">
        <f>R195*1000000/L195</f>
        <v>11398.695054004533</v>
      </c>
      <c r="T195" s="8">
        <f>LN(S195)</f>
        <v>9.3412541588835456</v>
      </c>
      <c r="U195" s="3">
        <f>IF(B195=2020,"",IF(A195=A194,(S195/S194-1)*100,""))</f>
        <v>9.1740152022727663</v>
      </c>
    </row>
    <row r="196" spans="1:21">
      <c r="A196" t="s">
        <v>74</v>
      </c>
      <c r="B196" s="1">
        <v>2024</v>
      </c>
      <c r="C196" s="6">
        <v>9304</v>
      </c>
      <c r="D196" s="6">
        <v>25960</v>
      </c>
      <c r="E196" s="6">
        <v>1800</v>
      </c>
      <c r="F196" s="3">
        <v>0.18454999999999999</v>
      </c>
      <c r="G196" s="3">
        <v>18.454999999999998</v>
      </c>
      <c r="H196" s="1">
        <v>1</v>
      </c>
      <c r="I196" s="6">
        <v>87796</v>
      </c>
      <c r="J196" s="3">
        <v>11.2</v>
      </c>
      <c r="K196" s="3">
        <v>5.8</v>
      </c>
      <c r="L196" s="2">
        <v>1101801</v>
      </c>
      <c r="M196" s="2">
        <v>206231</v>
      </c>
      <c r="N196" s="3">
        <v>18.7</v>
      </c>
      <c r="O196" s="3">
        <v>4.4000000000000004</v>
      </c>
      <c r="P196" s="1">
        <v>1</v>
      </c>
      <c r="Q196" t="s">
        <v>26</v>
      </c>
      <c r="R196" s="7">
        <v>13460.4</v>
      </c>
      <c r="S196" s="6">
        <f>R196*1000000/L196</f>
        <v>12216.725161803266</v>
      </c>
      <c r="T196" s="8">
        <f>LN(S196)</f>
        <v>9.4105612067773752</v>
      </c>
      <c r="U196" s="3">
        <f>IF(B196=2020,"",IF(A196=A195,(S196/S195-1)*100,""))</f>
        <v>7.1765241891557308</v>
      </c>
    </row>
    <row r="197" spans="1:21">
      <c r="A197" t="s">
        <v>75</v>
      </c>
      <c r="B197" s="1">
        <v>2020</v>
      </c>
      <c r="C197" s="6">
        <v>7516</v>
      </c>
      <c r="D197" s="6">
        <v>21154</v>
      </c>
      <c r="E197" s="6">
        <v>1700</v>
      </c>
      <c r="F197" s="3">
        <v>0.15767999999999999</v>
      </c>
      <c r="G197" s="3">
        <v>15.767999999999999</v>
      </c>
      <c r="H197" s="1">
        <v>1</v>
      </c>
      <c r="I197" s="6">
        <v>54864</v>
      </c>
      <c r="J197" s="3">
        <v>14.7</v>
      </c>
      <c r="K197" s="3">
        <v>5.5</v>
      </c>
      <c r="L197" s="2">
        <v>5091517</v>
      </c>
      <c r="M197" s="2">
        <v>900696</v>
      </c>
      <c r="N197" s="3">
        <v>17.7</v>
      </c>
      <c r="O197" s="3">
        <v>10.4</v>
      </c>
      <c r="P197" s="1">
        <v>0</v>
      </c>
      <c r="Q197" t="s">
        <v>22</v>
      </c>
      <c r="R197" s="7">
        <v>39121.9</v>
      </c>
      <c r="S197" s="6">
        <f>R197*1000000/L197</f>
        <v>7683.7414075215693</v>
      </c>
      <c r="T197" s="8">
        <f>LN(S197)</f>
        <v>8.9468618699543274</v>
      </c>
      <c r="U197" s="3" t="str">
        <f>IF(B197=2020,"",IF(A197=A196,(S197/S196-1)*100,""))</f>
        <v/>
      </c>
    </row>
    <row r="198" spans="1:21">
      <c r="A198" t="s">
        <v>75</v>
      </c>
      <c r="B198" s="1">
        <v>2021</v>
      </c>
      <c r="C198" s="6">
        <v>7314</v>
      </c>
      <c r="D198" s="6">
        <v>19453</v>
      </c>
      <c r="E198" s="6">
        <v>1950</v>
      </c>
      <c r="F198" s="3">
        <v>0.1885</v>
      </c>
      <c r="G198" s="3">
        <v>18.850000000000001</v>
      </c>
      <c r="H198" s="1">
        <v>1</v>
      </c>
      <c r="I198" s="6">
        <v>58234</v>
      </c>
      <c r="J198" s="3">
        <v>14.5</v>
      </c>
      <c r="K198" s="3">
        <v>5.3</v>
      </c>
      <c r="L198" s="2">
        <v>5078903</v>
      </c>
      <c r="M198" s="2">
        <v>901497</v>
      </c>
      <c r="N198" s="3">
        <v>17.7</v>
      </c>
      <c r="O198" s="3">
        <v>10.5</v>
      </c>
      <c r="P198" s="1">
        <v>0</v>
      </c>
      <c r="Q198" t="s">
        <v>22</v>
      </c>
      <c r="R198" s="7">
        <v>43828.3</v>
      </c>
      <c r="S198" s="6">
        <f>R198*1000000/L198</f>
        <v>8629.4816026216686</v>
      </c>
      <c r="T198" s="8">
        <f>LN(S198)</f>
        <v>9.0629397130521188</v>
      </c>
      <c r="U198" s="3">
        <f>IF(B198=2020,"",IF(A198=A197,(S198/S197-1)*100,""))</f>
        <v>12.308329301326037</v>
      </c>
    </row>
    <row r="199" spans="1:21">
      <c r="A199" t="s">
        <v>75</v>
      </c>
      <c r="B199" s="1">
        <v>2022</v>
      </c>
      <c r="C199" s="6">
        <v>7252</v>
      </c>
      <c r="D199" s="6">
        <v>21218</v>
      </c>
      <c r="E199" s="6">
        <v>1600</v>
      </c>
      <c r="F199" s="3">
        <v>0.14896000000000001</v>
      </c>
      <c r="G199" s="3">
        <v>14.896000000000001</v>
      </c>
      <c r="H199" s="1">
        <v>1</v>
      </c>
      <c r="I199" s="6">
        <v>63623</v>
      </c>
      <c r="J199" s="3">
        <v>14.4</v>
      </c>
      <c r="K199" s="3">
        <v>5.2</v>
      </c>
      <c r="L199" s="2">
        <v>5142750</v>
      </c>
      <c r="M199" s="2">
        <v>938517</v>
      </c>
      <c r="N199" s="3">
        <v>18.2</v>
      </c>
      <c r="O199" s="3">
        <v>10.199999999999999</v>
      </c>
      <c r="P199" s="1">
        <v>0</v>
      </c>
      <c r="Q199" t="s">
        <v>22</v>
      </c>
      <c r="R199" s="7">
        <v>46664.7</v>
      </c>
      <c r="S199" s="6">
        <f>R199*1000000/L199</f>
        <v>9073.8807058480379</v>
      </c>
      <c r="T199" s="8">
        <f>LN(S199)</f>
        <v>9.1131553133277077</v>
      </c>
      <c r="U199" s="3">
        <f>IF(B199=2020,"",IF(A199=A198,(S199/S198-1)*100,""))</f>
        <v>5.1497775149246472</v>
      </c>
    </row>
    <row r="200" spans="1:21">
      <c r="A200" t="s">
        <v>75</v>
      </c>
      <c r="B200" s="1">
        <v>2023</v>
      </c>
      <c r="C200" s="6">
        <v>7428</v>
      </c>
      <c r="D200" s="6">
        <v>22035</v>
      </c>
      <c r="E200" s="6">
        <v>2100</v>
      </c>
      <c r="F200" s="3">
        <v>0.16656000000000001</v>
      </c>
      <c r="G200" s="3">
        <v>16.656000000000002</v>
      </c>
      <c r="H200" s="1">
        <v>1</v>
      </c>
      <c r="I200" s="6">
        <v>66818</v>
      </c>
      <c r="J200" s="3">
        <v>14.2</v>
      </c>
      <c r="K200" s="3">
        <v>5</v>
      </c>
      <c r="L200" s="2">
        <v>5212774</v>
      </c>
      <c r="M200" s="2">
        <v>963569</v>
      </c>
      <c r="N200" s="3">
        <v>18.5</v>
      </c>
      <c r="O200" s="3">
        <v>10</v>
      </c>
      <c r="P200" s="1">
        <v>0</v>
      </c>
      <c r="Q200" t="s">
        <v>22</v>
      </c>
      <c r="R200" s="7">
        <v>51100.3</v>
      </c>
      <c r="S200" s="6">
        <f>R200*1000000/L200</f>
        <v>9802.8995694039295</v>
      </c>
      <c r="T200" s="8">
        <f>LN(S200)</f>
        <v>9.1904334953254292</v>
      </c>
      <c r="U200" s="3">
        <f>IF(B200=2020,"",IF(A200=A199,(S200/S199-1)*100,""))</f>
        <v>8.034256644855887</v>
      </c>
    </row>
    <row r="201" spans="1:21">
      <c r="A201" t="s">
        <v>75</v>
      </c>
      <c r="B201" s="1">
        <v>2024</v>
      </c>
      <c r="C201" s="6">
        <v>8181</v>
      </c>
      <c r="D201" s="6">
        <v>24280</v>
      </c>
      <c r="E201" s="6">
        <v>2760</v>
      </c>
      <c r="F201" s="3">
        <v>0.19552</v>
      </c>
      <c r="G201" s="3">
        <v>19.552</v>
      </c>
      <c r="H201" s="1">
        <v>1</v>
      </c>
      <c r="I201" s="6">
        <v>69324</v>
      </c>
      <c r="J201" s="3">
        <v>14.1</v>
      </c>
      <c r="K201" s="3">
        <v>4.9000000000000004</v>
      </c>
      <c r="L201" s="2">
        <v>5296225</v>
      </c>
      <c r="M201" s="2">
        <v>999401</v>
      </c>
      <c r="N201" s="3">
        <v>18.899999999999999</v>
      </c>
      <c r="O201" s="3">
        <v>9.6</v>
      </c>
      <c r="P201" s="1">
        <v>0</v>
      </c>
      <c r="Q201" t="s">
        <v>22</v>
      </c>
      <c r="R201" s="7">
        <v>55441.3</v>
      </c>
      <c r="S201" s="6">
        <f>R201*1000000/L201</f>
        <v>10468.078678681513</v>
      </c>
      <c r="T201" s="8">
        <f>LN(S201)</f>
        <v>9.2560857797358054</v>
      </c>
      <c r="U201" s="3">
        <f>IF(B201=2020,"",IF(A201=A200,(S201/S200-1)*100,""))</f>
        <v>6.7855342653278861</v>
      </c>
    </row>
    <row r="202" spans="1:21">
      <c r="A202" t="s">
        <v>76</v>
      </c>
      <c r="B202" s="1">
        <v>2020</v>
      </c>
      <c r="C202" s="6">
        <v>7070</v>
      </c>
      <c r="D202" s="6">
        <v>20277</v>
      </c>
      <c r="E202" s="6">
        <v>2880</v>
      </c>
      <c r="F202" s="3">
        <v>0.19614000000000001</v>
      </c>
      <c r="G202" s="3">
        <v>19.614000000000001</v>
      </c>
      <c r="H202" s="1">
        <v>0</v>
      </c>
      <c r="I202" s="6">
        <v>59896</v>
      </c>
      <c r="J202" s="3">
        <v>12.8</v>
      </c>
      <c r="K202" s="3">
        <v>3.5</v>
      </c>
      <c r="L202" s="2">
        <v>879336</v>
      </c>
      <c r="M202" s="2">
        <v>146831</v>
      </c>
      <c r="N202" s="3">
        <v>16.7</v>
      </c>
      <c r="O202" s="3">
        <v>9.6</v>
      </c>
      <c r="P202" s="1">
        <v>0</v>
      </c>
      <c r="Q202" t="s">
        <v>77</v>
      </c>
      <c r="R202" s="7">
        <v>9697.9</v>
      </c>
      <c r="S202" s="6">
        <f>R202*1000000/L202</f>
        <v>11028.662536277372</v>
      </c>
      <c r="T202" s="8">
        <f>LN(S202)</f>
        <v>9.3082528479848516</v>
      </c>
      <c r="U202" s="3" t="str">
        <f>IF(B202=2020,"",IF(A202=A201,(S202/S201-1)*100,""))</f>
        <v/>
      </c>
    </row>
    <row r="203" spans="1:21">
      <c r="A203" t="s">
        <v>76</v>
      </c>
      <c r="B203" s="1">
        <v>2021</v>
      </c>
      <c r="C203" s="6">
        <v>7338</v>
      </c>
      <c r="D203" s="6">
        <v>21301</v>
      </c>
      <c r="E203" s="6">
        <v>2060</v>
      </c>
      <c r="F203" s="3">
        <v>0.14771999999999999</v>
      </c>
      <c r="G203" s="3">
        <v>14.771999999999998</v>
      </c>
      <c r="H203" s="1">
        <v>0</v>
      </c>
      <c r="I203" s="6">
        <v>63920</v>
      </c>
      <c r="J203" s="3">
        <v>12.5</v>
      </c>
      <c r="K203" s="3">
        <v>3.2</v>
      </c>
      <c r="L203" s="2">
        <v>881785</v>
      </c>
      <c r="M203" s="2">
        <v>146784</v>
      </c>
      <c r="N203" s="3">
        <v>16.600000000000001</v>
      </c>
      <c r="O203" s="3">
        <v>9.6</v>
      </c>
      <c r="P203" s="1">
        <v>0</v>
      </c>
      <c r="Q203" t="s">
        <v>77</v>
      </c>
      <c r="R203" s="7">
        <v>10684.7</v>
      </c>
      <c r="S203" s="6">
        <f>R203*1000000/L203</f>
        <v>12117.126056805231</v>
      </c>
      <c r="T203" s="8">
        <f>LN(S203)</f>
        <v>9.4023751074789867</v>
      </c>
      <c r="U203" s="3">
        <f>IF(B203=2020,"",IF(A203=A202,(S203/S202-1)*100,""))</f>
        <v>9.8694063486619363</v>
      </c>
    </row>
    <row r="204" spans="1:21">
      <c r="A204" t="s">
        <v>76</v>
      </c>
      <c r="B204" s="1">
        <v>2022</v>
      </c>
      <c r="C204" s="6">
        <v>7640</v>
      </c>
      <c r="D204" s="6">
        <v>23861</v>
      </c>
      <c r="E204" s="6">
        <v>2450</v>
      </c>
      <c r="F204" s="3">
        <v>0.20699999999999999</v>
      </c>
      <c r="G204" s="3">
        <v>20.7</v>
      </c>
      <c r="H204" s="1">
        <v>0</v>
      </c>
      <c r="I204" s="6">
        <v>69457</v>
      </c>
      <c r="J204" s="3">
        <v>12.3</v>
      </c>
      <c r="K204" s="3">
        <v>3.1</v>
      </c>
      <c r="L204" s="2">
        <v>890342</v>
      </c>
      <c r="M204" s="2">
        <v>153979</v>
      </c>
      <c r="N204" s="3">
        <v>17.3</v>
      </c>
      <c r="O204" s="3">
        <v>9.5</v>
      </c>
      <c r="P204" s="1">
        <v>0</v>
      </c>
      <c r="Q204" t="s">
        <v>77</v>
      </c>
      <c r="R204" s="7">
        <v>11497.3</v>
      </c>
      <c r="S204" s="6">
        <f>R204*1000000/L204</f>
        <v>12913.352397168728</v>
      </c>
      <c r="T204" s="8">
        <f>LN(S204)</f>
        <v>9.4660171245826028</v>
      </c>
      <c r="U204" s="3">
        <f>IF(B204=2020,"",IF(A204=A203,(S204/S203-1)*100,""))</f>
        <v>6.5710824219437747</v>
      </c>
    </row>
    <row r="205" spans="1:21">
      <c r="A205" t="s">
        <v>76</v>
      </c>
      <c r="B205" s="1">
        <v>2023</v>
      </c>
      <c r="C205" s="6">
        <v>8394</v>
      </c>
      <c r="D205" s="6">
        <v>24103</v>
      </c>
      <c r="E205" s="6">
        <v>2585</v>
      </c>
      <c r="F205" s="3">
        <v>0.17149</v>
      </c>
      <c r="G205" s="3">
        <v>17.149000000000001</v>
      </c>
      <c r="H205" s="1">
        <v>0</v>
      </c>
      <c r="I205" s="6">
        <v>72421</v>
      </c>
      <c r="J205" s="3">
        <v>12</v>
      </c>
      <c r="K205" s="3">
        <v>3</v>
      </c>
      <c r="L205" s="2">
        <v>899194</v>
      </c>
      <c r="M205" s="2">
        <v>158103</v>
      </c>
      <c r="N205" s="3">
        <v>17.600000000000001</v>
      </c>
      <c r="O205" s="3">
        <v>9.3000000000000007</v>
      </c>
      <c r="P205" s="1">
        <v>1</v>
      </c>
      <c r="Q205" t="s">
        <v>77</v>
      </c>
      <c r="R205" s="7">
        <v>12159.8</v>
      </c>
      <c r="S205" s="6">
        <f>R205*1000000/L205</f>
        <v>13522.999486206536</v>
      </c>
      <c r="T205" s="8">
        <f>LN(S205)</f>
        <v>9.5121471804793138</v>
      </c>
      <c r="U205" s="3">
        <f>IF(B205=2020,"",IF(A205=A204,(S205/S204-1)*100,""))</f>
        <v>4.7210598014151062</v>
      </c>
    </row>
    <row r="206" spans="1:21">
      <c r="A206" t="s">
        <v>76</v>
      </c>
      <c r="B206" s="1">
        <v>2024</v>
      </c>
      <c r="C206" s="6">
        <v>8340</v>
      </c>
      <c r="D206" s="6">
        <v>24941</v>
      </c>
      <c r="E206" s="6">
        <v>3000</v>
      </c>
      <c r="F206" s="3">
        <v>0.19136</v>
      </c>
      <c r="G206" s="3">
        <v>19.135999999999999</v>
      </c>
      <c r="H206" s="1">
        <v>0</v>
      </c>
      <c r="I206" s="6">
        <v>75081</v>
      </c>
      <c r="J206" s="3">
        <v>11.9</v>
      </c>
      <c r="K206" s="3">
        <v>2.9</v>
      </c>
      <c r="L206" s="2">
        <v>907428</v>
      </c>
      <c r="M206" s="2">
        <v>163311</v>
      </c>
      <c r="N206" s="3">
        <v>18</v>
      </c>
      <c r="O206" s="3">
        <v>9</v>
      </c>
      <c r="P206" s="1">
        <v>1</v>
      </c>
      <c r="Q206" t="s">
        <v>77</v>
      </c>
      <c r="R206" s="7">
        <v>13151.4</v>
      </c>
      <c r="S206" s="6">
        <f>R206*1000000/L206</f>
        <v>14493.050688319074</v>
      </c>
      <c r="T206" s="8">
        <f>LN(S206)</f>
        <v>9.5814245506509597</v>
      </c>
      <c r="U206" s="3">
        <f>IF(B206=2020,"",IF(A206=A205,(S206/S205-1)*100,""))</f>
        <v>7.1733434812446095</v>
      </c>
    </row>
    <row r="207" spans="1:21">
      <c r="A207" t="s">
        <v>78</v>
      </c>
      <c r="B207" s="1">
        <v>2020</v>
      </c>
      <c r="C207" s="6">
        <v>6485</v>
      </c>
      <c r="D207" s="6">
        <v>18424</v>
      </c>
      <c r="E207" s="6">
        <v>2000</v>
      </c>
      <c r="F207" s="3">
        <v>0.19408</v>
      </c>
      <c r="G207" s="3">
        <v>19.408000000000001</v>
      </c>
      <c r="H207" s="1">
        <v>1</v>
      </c>
      <c r="I207" s="6">
        <v>54833</v>
      </c>
      <c r="J207" s="3">
        <v>14.6</v>
      </c>
      <c r="K207" s="3">
        <v>5.3</v>
      </c>
      <c r="L207" s="2">
        <v>6772268</v>
      </c>
      <c r="M207" s="2">
        <v>1107564</v>
      </c>
      <c r="N207" s="3">
        <v>16.399999999999999</v>
      </c>
      <c r="O207" s="3">
        <v>9.6999999999999993</v>
      </c>
      <c r="P207" s="1">
        <v>0</v>
      </c>
      <c r="Q207" t="s">
        <v>22</v>
      </c>
      <c r="R207" s="7">
        <v>57769.4</v>
      </c>
      <c r="S207" s="6">
        <f>R207*1000000/L207</f>
        <v>8530.2885237264672</v>
      </c>
      <c r="T207" s="8">
        <f>LN(S207)</f>
        <v>9.0513784645006101</v>
      </c>
      <c r="U207" s="3" t="str">
        <f>IF(B207=2020,"",IF(A207=A206,(S207/S206-1)*100,""))</f>
        <v/>
      </c>
    </row>
    <row r="208" spans="1:21">
      <c r="A208" t="s">
        <v>78</v>
      </c>
      <c r="B208" s="1">
        <v>2021</v>
      </c>
      <c r="C208" s="6">
        <v>6741</v>
      </c>
      <c r="D208" s="6">
        <v>19593</v>
      </c>
      <c r="E208" s="6">
        <v>1640</v>
      </c>
      <c r="F208" s="3">
        <v>0.16918</v>
      </c>
      <c r="G208" s="3">
        <v>16.917999999999999</v>
      </c>
      <c r="H208" s="1">
        <v>1</v>
      </c>
      <c r="I208" s="6">
        <v>58516</v>
      </c>
      <c r="J208" s="3">
        <v>14.3</v>
      </c>
      <c r="K208" s="3">
        <v>5.3</v>
      </c>
      <c r="L208" s="2">
        <v>6859497</v>
      </c>
      <c r="M208" s="2">
        <v>1118190</v>
      </c>
      <c r="N208" s="3">
        <v>16.3</v>
      </c>
      <c r="O208" s="3">
        <v>10.1</v>
      </c>
      <c r="P208" s="1">
        <v>0</v>
      </c>
      <c r="Q208" t="s">
        <v>22</v>
      </c>
      <c r="R208" s="7">
        <v>63499.9</v>
      </c>
      <c r="S208" s="6">
        <f>R208*1000000/L208</f>
        <v>9257.2239626316623</v>
      </c>
      <c r="T208" s="8">
        <f>LN(S208)</f>
        <v>9.1331594946420669</v>
      </c>
      <c r="U208" s="3">
        <f>IF(B208=2020,"",IF(A208=A207,(S208/S207-1)*100,""))</f>
        <v>8.5218153745124638</v>
      </c>
    </row>
    <row r="209" spans="1:21">
      <c r="A209" t="s">
        <v>78</v>
      </c>
      <c r="B209" s="1">
        <v>2022</v>
      </c>
      <c r="C209" s="6">
        <v>7182</v>
      </c>
      <c r="D209" s="6">
        <v>20227</v>
      </c>
      <c r="E209" s="6">
        <v>1600</v>
      </c>
      <c r="F209" s="3">
        <v>0.14279</v>
      </c>
      <c r="G209" s="3">
        <v>14.279</v>
      </c>
      <c r="H209" s="1">
        <v>1</v>
      </c>
      <c r="I209" s="6">
        <v>64035</v>
      </c>
      <c r="J209" s="3">
        <v>14</v>
      </c>
      <c r="K209" s="3">
        <v>5</v>
      </c>
      <c r="L209" s="2">
        <v>6923772</v>
      </c>
      <c r="M209" s="2">
        <v>1155313</v>
      </c>
      <c r="N209" s="3">
        <v>16.7</v>
      </c>
      <c r="O209" s="3">
        <v>10.1</v>
      </c>
      <c r="P209" s="1">
        <v>0</v>
      </c>
      <c r="Q209" t="s">
        <v>22</v>
      </c>
      <c r="R209" s="7">
        <v>68578.7</v>
      </c>
      <c r="S209" s="6">
        <f>R209*1000000/L209</f>
        <v>9904.8177785172593</v>
      </c>
      <c r="T209" s="8">
        <f>LN(S209)</f>
        <v>9.2007765620444211</v>
      </c>
      <c r="U209" s="3">
        <f>IF(B209=2020,"",IF(A209=A208,(S209/S208-1)*100,""))</f>
        <v>6.9955509178531106</v>
      </c>
    </row>
    <row r="210" spans="1:21">
      <c r="A210" t="s">
        <v>78</v>
      </c>
      <c r="B210" s="1">
        <v>2023</v>
      </c>
      <c r="C210" s="6">
        <v>7659</v>
      </c>
      <c r="D210" s="6">
        <v>23271</v>
      </c>
      <c r="E210" s="6">
        <v>2225</v>
      </c>
      <c r="F210" s="3">
        <v>0.15557000000000001</v>
      </c>
      <c r="G210" s="3">
        <v>15.557000000000002</v>
      </c>
      <c r="H210" s="1">
        <v>1</v>
      </c>
      <c r="I210" s="6">
        <v>67097</v>
      </c>
      <c r="J210" s="3">
        <v>13.8</v>
      </c>
      <c r="K210" s="3">
        <v>4.7</v>
      </c>
      <c r="L210" s="2">
        <v>6986082</v>
      </c>
      <c r="M210" s="2">
        <v>1172740</v>
      </c>
      <c r="N210" s="3">
        <v>16.8</v>
      </c>
      <c r="O210" s="3">
        <v>10.1</v>
      </c>
      <c r="P210" s="1">
        <v>0</v>
      </c>
      <c r="Q210" t="s">
        <v>22</v>
      </c>
      <c r="R210" s="7">
        <v>74810.600000000006</v>
      </c>
      <c r="S210" s="6">
        <f>R210*1000000/L210</f>
        <v>10708.520169101937</v>
      </c>
      <c r="T210" s="8">
        <f>LN(S210)</f>
        <v>9.2787949810754373</v>
      </c>
      <c r="U210" s="3">
        <f>IF(B210=2020,"",IF(A210=A209,(S210/S209-1)*100,""))</f>
        <v>8.1142572085257658</v>
      </c>
    </row>
    <row r="211" spans="1:21">
      <c r="A211" t="s">
        <v>78</v>
      </c>
      <c r="B211" s="1">
        <v>2024</v>
      </c>
      <c r="C211" s="6">
        <v>7510</v>
      </c>
      <c r="D211" s="6">
        <v>22085</v>
      </c>
      <c r="E211" s="6">
        <v>2000</v>
      </c>
      <c r="F211" s="3">
        <v>0.17402000000000001</v>
      </c>
      <c r="G211" s="3">
        <v>17.402000000000001</v>
      </c>
      <c r="H211" s="1">
        <v>1</v>
      </c>
      <c r="I211" s="6">
        <v>69595</v>
      </c>
      <c r="J211" s="3">
        <v>13.8</v>
      </c>
      <c r="K211" s="3">
        <v>4.7</v>
      </c>
      <c r="L211" s="2">
        <v>7066383</v>
      </c>
      <c r="M211" s="2">
        <v>1205947</v>
      </c>
      <c r="N211" s="3">
        <v>17.100000000000001</v>
      </c>
      <c r="O211" s="3">
        <v>10</v>
      </c>
      <c r="P211" s="1">
        <v>0</v>
      </c>
      <c r="Q211" t="s">
        <v>22</v>
      </c>
      <c r="R211" s="7">
        <v>80534.8</v>
      </c>
      <c r="S211" s="6">
        <f>R211*1000000/L211</f>
        <v>11396.891450689836</v>
      </c>
      <c r="T211" s="8">
        <f>LN(S211)</f>
        <v>9.3410959174346502</v>
      </c>
      <c r="U211" s="3">
        <f>IF(B211=2020,"",IF(A211=A210,(S211/S210-1)*100,""))</f>
        <v>6.4282577864876789</v>
      </c>
    </row>
    <row r="212" spans="1:21">
      <c r="A212" t="s">
        <v>79</v>
      </c>
      <c r="B212" s="1">
        <v>2020</v>
      </c>
      <c r="C212" s="6">
        <v>7017</v>
      </c>
      <c r="D212" s="6">
        <v>20937</v>
      </c>
      <c r="E212" s="6">
        <v>1687</v>
      </c>
      <c r="F212" s="3">
        <v>0.18249000000000001</v>
      </c>
      <c r="G212" s="3">
        <v>18.249000000000002</v>
      </c>
      <c r="H212" s="1">
        <v>0</v>
      </c>
      <c r="I212" s="6">
        <v>63826</v>
      </c>
      <c r="J212" s="3">
        <v>14.2</v>
      </c>
      <c r="K212" s="3">
        <v>5.3</v>
      </c>
      <c r="L212" s="2">
        <v>28635442</v>
      </c>
      <c r="M212" s="2">
        <v>3593369</v>
      </c>
      <c r="N212" s="3">
        <v>12.5</v>
      </c>
      <c r="O212" s="3">
        <v>17.3</v>
      </c>
      <c r="P212" s="1">
        <v>0</v>
      </c>
      <c r="Q212" t="s">
        <v>22</v>
      </c>
      <c r="R212" s="7">
        <v>221132.7</v>
      </c>
      <c r="S212" s="6">
        <f>R212*1000000/L212</f>
        <v>7722.3428225763028</v>
      </c>
      <c r="T212" s="8">
        <f>LN(S212)</f>
        <v>8.9518730714067551</v>
      </c>
      <c r="U212" s="3" t="str">
        <f>IF(B212=2020,"",IF(A212=A211,(S212/S211-1)*100,""))</f>
        <v/>
      </c>
    </row>
    <row r="213" spans="1:21">
      <c r="A213" t="s">
        <v>79</v>
      </c>
      <c r="B213" s="1">
        <v>2021</v>
      </c>
      <c r="C213" s="6">
        <v>7183</v>
      </c>
      <c r="D213" s="6">
        <v>21288</v>
      </c>
      <c r="E213" s="6">
        <v>1640</v>
      </c>
      <c r="F213" s="3">
        <v>0.17396</v>
      </c>
      <c r="G213" s="3">
        <v>17.396000000000001</v>
      </c>
      <c r="H213" s="1">
        <v>0</v>
      </c>
      <c r="I213" s="6">
        <v>67321</v>
      </c>
      <c r="J213" s="3">
        <v>14</v>
      </c>
      <c r="K213" s="3">
        <v>5.4</v>
      </c>
      <c r="L213" s="2">
        <v>28862581</v>
      </c>
      <c r="M213" s="2">
        <v>3620798</v>
      </c>
      <c r="N213" s="3">
        <v>12.5</v>
      </c>
      <c r="O213" s="3">
        <v>17.600000000000001</v>
      </c>
      <c r="P213" s="1">
        <v>0</v>
      </c>
      <c r="Q213" t="s">
        <v>22</v>
      </c>
      <c r="R213" s="7">
        <v>247608.8</v>
      </c>
      <c r="S213" s="6">
        <f>R213*1000000/L213</f>
        <v>8578.8862749315449</v>
      </c>
      <c r="T213" s="8">
        <f>LN(S213)</f>
        <v>9.057059379270104</v>
      </c>
      <c r="U213" s="3">
        <f>IF(B213=2020,"",IF(A213=A212,(S213/S212-1)*100,""))</f>
        <v>11.091756375424477</v>
      </c>
    </row>
    <row r="214" spans="1:21">
      <c r="A214" t="s">
        <v>79</v>
      </c>
      <c r="B214" s="1">
        <v>2022</v>
      </c>
      <c r="C214" s="6">
        <v>7351</v>
      </c>
      <c r="D214" s="6">
        <v>22334</v>
      </c>
      <c r="E214" s="6">
        <v>1900</v>
      </c>
      <c r="F214" s="3">
        <v>0.19886999999999999</v>
      </c>
      <c r="G214" s="3">
        <v>19.887</v>
      </c>
      <c r="H214" s="1">
        <v>0</v>
      </c>
      <c r="I214" s="6">
        <v>73035</v>
      </c>
      <c r="J214" s="3">
        <v>13.9</v>
      </c>
      <c r="K214" s="3">
        <v>5.2</v>
      </c>
      <c r="L214" s="2">
        <v>29243342</v>
      </c>
      <c r="M214" s="2">
        <v>3768977</v>
      </c>
      <c r="N214" s="3">
        <v>12.9</v>
      </c>
      <c r="O214" s="3">
        <v>17.600000000000001</v>
      </c>
      <c r="P214" s="1">
        <v>0</v>
      </c>
      <c r="Q214" t="s">
        <v>22</v>
      </c>
      <c r="R214" s="7">
        <v>265571.8</v>
      </c>
      <c r="S214" s="6">
        <f>R214*1000000/L214</f>
        <v>9081.4449319780215</v>
      </c>
      <c r="T214" s="8">
        <f>LN(S214)</f>
        <v>9.1139885924127064</v>
      </c>
      <c r="U214" s="3">
        <f>IF(B214=2020,"",IF(A214=A213,(S214/S213-1)*100,""))</f>
        <v>5.8580874129898319</v>
      </c>
    </row>
    <row r="215" spans="1:21">
      <c r="A215" t="s">
        <v>79</v>
      </c>
      <c r="B215" s="1">
        <v>2023</v>
      </c>
      <c r="C215" s="6">
        <v>8180</v>
      </c>
      <c r="D215" s="6">
        <v>23976</v>
      </c>
      <c r="E215" s="6">
        <v>1800</v>
      </c>
      <c r="F215" s="3">
        <v>0.17624999999999999</v>
      </c>
      <c r="G215" s="3">
        <v>17.625</v>
      </c>
      <c r="H215" s="1">
        <v>0</v>
      </c>
      <c r="I215" s="6">
        <v>76292</v>
      </c>
      <c r="J215" s="3">
        <v>13.8</v>
      </c>
      <c r="K215" s="3">
        <v>5.0999999999999996</v>
      </c>
      <c r="L215" s="2">
        <v>29640343</v>
      </c>
      <c r="M215" s="2">
        <v>3905545</v>
      </c>
      <c r="N215" s="3">
        <v>13.2</v>
      </c>
      <c r="O215" s="3">
        <v>17.399999999999999</v>
      </c>
      <c r="P215" s="1">
        <v>0</v>
      </c>
      <c r="Q215" t="s">
        <v>22</v>
      </c>
      <c r="R215" s="7">
        <v>291171.09999999998</v>
      </c>
      <c r="S215" s="6">
        <f>R215*1000000/L215</f>
        <v>9823.472690582561</v>
      </c>
      <c r="T215" s="8">
        <f>LN(S215)</f>
        <v>9.1925299733134533</v>
      </c>
      <c r="U215" s="3">
        <f>IF(B215=2020,"",IF(A215=A214,(S215/S214-1)*100,""))</f>
        <v>8.170811629233965</v>
      </c>
    </row>
    <row r="216" spans="1:21">
      <c r="A216" t="s">
        <v>79</v>
      </c>
      <c r="B216" s="1">
        <v>2024</v>
      </c>
      <c r="C216" s="6">
        <v>7833</v>
      </c>
      <c r="D216" s="6">
        <v>24106</v>
      </c>
      <c r="E216" s="6">
        <v>1900</v>
      </c>
      <c r="F216" s="3">
        <v>0.16202</v>
      </c>
      <c r="G216" s="3">
        <v>16.201999999999998</v>
      </c>
      <c r="H216" s="1">
        <v>0</v>
      </c>
      <c r="I216" s="6">
        <v>78476</v>
      </c>
      <c r="J216" s="3">
        <v>13.8</v>
      </c>
      <c r="K216" s="3">
        <v>5.3</v>
      </c>
      <c r="L216" s="2">
        <v>30188424</v>
      </c>
      <c r="M216" s="2">
        <v>4056252</v>
      </c>
      <c r="N216" s="3">
        <v>13.4</v>
      </c>
      <c r="O216" s="3">
        <v>17.100000000000001</v>
      </c>
      <c r="P216" s="1">
        <v>0</v>
      </c>
      <c r="Q216" t="s">
        <v>22</v>
      </c>
      <c r="R216" s="7">
        <v>314064.5</v>
      </c>
      <c r="S216" s="6">
        <f>R216*1000000/L216</f>
        <v>10403.474523877099</v>
      </c>
      <c r="T216" s="8">
        <f>LN(S216)</f>
        <v>9.2498951181685527</v>
      </c>
      <c r="U216" s="3">
        <f>IF(B216=2020,"",IF(A216=A215,(S216/S215-1)*100,""))</f>
        <v>5.9042443702273184</v>
      </c>
    </row>
    <row r="217" spans="1:21">
      <c r="A217" t="s">
        <v>80</v>
      </c>
      <c r="B217" s="1">
        <v>2020</v>
      </c>
      <c r="C217" s="6">
        <v>6593</v>
      </c>
      <c r="D217" s="6">
        <v>19530</v>
      </c>
      <c r="E217" s="6">
        <v>3300</v>
      </c>
      <c r="F217" s="3">
        <v>0.19358</v>
      </c>
      <c r="G217" s="3">
        <v>19.358000000000001</v>
      </c>
      <c r="H217" s="1">
        <v>0</v>
      </c>
      <c r="I217" s="6">
        <v>74197</v>
      </c>
      <c r="J217" s="3">
        <v>9.1</v>
      </c>
      <c r="K217" s="3">
        <v>3.6</v>
      </c>
      <c r="L217" s="2">
        <v>3151239</v>
      </c>
      <c r="M217" s="2">
        <v>349010</v>
      </c>
      <c r="N217" s="3">
        <v>11.1</v>
      </c>
      <c r="O217" s="3">
        <v>9</v>
      </c>
      <c r="P217" s="1">
        <v>1</v>
      </c>
      <c r="Q217" t="s">
        <v>36</v>
      </c>
      <c r="R217" s="7">
        <v>21873.9</v>
      </c>
      <c r="S217" s="6">
        <f>R217*1000000/L217</f>
        <v>6941.3649678745405</v>
      </c>
      <c r="T217" s="8">
        <f>LN(S217)</f>
        <v>8.8452537154115625</v>
      </c>
      <c r="U217" s="3" t="str">
        <f>IF(B217=2020,"",IF(A217=A216,(S217/S216-1)*100,""))</f>
        <v/>
      </c>
    </row>
    <row r="218" spans="1:21">
      <c r="A218" t="s">
        <v>80</v>
      </c>
      <c r="B218" s="1">
        <v>2021</v>
      </c>
      <c r="C218" s="6">
        <v>6707</v>
      </c>
      <c r="D218" s="6">
        <v>19844</v>
      </c>
      <c r="E218" s="6">
        <v>2600</v>
      </c>
      <c r="F218" s="3">
        <v>0.1908</v>
      </c>
      <c r="G218" s="3">
        <v>19.079999999999998</v>
      </c>
      <c r="H218" s="1">
        <v>0</v>
      </c>
      <c r="I218" s="6">
        <v>79133</v>
      </c>
      <c r="J218" s="3">
        <v>8.8000000000000007</v>
      </c>
      <c r="K218" s="3">
        <v>3.5</v>
      </c>
      <c r="L218" s="2">
        <v>3231370</v>
      </c>
      <c r="M218" s="2">
        <v>358168</v>
      </c>
      <c r="N218" s="3">
        <v>11.1</v>
      </c>
      <c r="O218" s="3">
        <v>9</v>
      </c>
      <c r="P218" s="1">
        <v>1</v>
      </c>
      <c r="Q218" t="s">
        <v>36</v>
      </c>
      <c r="R218" s="7">
        <v>24230.3</v>
      </c>
      <c r="S218" s="6">
        <f>R218*1000000/L218</f>
        <v>7498.4604053389121</v>
      </c>
      <c r="T218" s="8">
        <f>LN(S218)</f>
        <v>8.9224529991635801</v>
      </c>
      <c r="U218" s="3">
        <f>IF(B218=2020,"",IF(A218=A217,(S218/S217-1)*100,""))</f>
        <v>8.0257332677747826</v>
      </c>
    </row>
    <row r="219" spans="1:21">
      <c r="A219" t="s">
        <v>80</v>
      </c>
      <c r="B219" s="1">
        <v>2022</v>
      </c>
      <c r="C219" s="6">
        <v>6746</v>
      </c>
      <c r="D219" s="6">
        <v>19888</v>
      </c>
      <c r="E219" s="6">
        <v>2910</v>
      </c>
      <c r="F219" s="3">
        <v>0.16955999999999999</v>
      </c>
      <c r="G219" s="3">
        <v>16.956</v>
      </c>
      <c r="H219" s="1">
        <v>0</v>
      </c>
      <c r="I219" s="6">
        <v>86833</v>
      </c>
      <c r="J219" s="3">
        <v>8.5</v>
      </c>
      <c r="K219" s="3">
        <v>3.4</v>
      </c>
      <c r="L219" s="2">
        <v>3283809</v>
      </c>
      <c r="M219" s="2">
        <v>374344</v>
      </c>
      <c r="N219" s="3">
        <v>11.4</v>
      </c>
      <c r="O219" s="3">
        <v>8.8000000000000007</v>
      </c>
      <c r="P219" s="1">
        <v>1</v>
      </c>
      <c r="Q219" t="s">
        <v>36</v>
      </c>
      <c r="R219" s="7">
        <v>27013.8</v>
      </c>
      <c r="S219" s="6">
        <f>R219*1000000/L219</f>
        <v>8226.3615210263451</v>
      </c>
      <c r="T219" s="8">
        <f>LN(S219)</f>
        <v>9.0150990964055424</v>
      </c>
      <c r="U219" s="3">
        <f>IF(B219=2020,"",IF(A219=A218,(S219/S218-1)*100,""))</f>
        <v>9.7073409252006915</v>
      </c>
    </row>
    <row r="220" spans="1:21">
      <c r="A220" t="s">
        <v>80</v>
      </c>
      <c r="B220" s="1">
        <v>2023</v>
      </c>
      <c r="C220" s="6">
        <v>7993</v>
      </c>
      <c r="D220" s="6">
        <v>22499</v>
      </c>
      <c r="E220" s="6">
        <v>3900</v>
      </c>
      <c r="F220" s="3">
        <v>0.20496</v>
      </c>
      <c r="G220" s="3">
        <v>20.495999999999999</v>
      </c>
      <c r="H220" s="1">
        <v>0</v>
      </c>
      <c r="I220" s="6">
        <v>91750</v>
      </c>
      <c r="J220" s="3">
        <v>8.6</v>
      </c>
      <c r="K220" s="3">
        <v>3.4</v>
      </c>
      <c r="L220" s="2">
        <v>3331187</v>
      </c>
      <c r="M220" s="2">
        <v>387028</v>
      </c>
      <c r="N220" s="3">
        <v>11.6</v>
      </c>
      <c r="O220" s="3">
        <v>8.6999999999999993</v>
      </c>
      <c r="P220" s="1">
        <v>1</v>
      </c>
      <c r="Q220" t="s">
        <v>36</v>
      </c>
      <c r="R220" s="7">
        <v>29633</v>
      </c>
      <c r="S220" s="6">
        <f>R220*1000000/L220</f>
        <v>8895.6278948014624</v>
      </c>
      <c r="T220" s="8">
        <f>LN(S220)</f>
        <v>9.0933151872433946</v>
      </c>
      <c r="U220" s="3">
        <f>IF(B220=2020,"",IF(A220=A219,(S220/S219-1)*100,""))</f>
        <v>8.1356304614681907</v>
      </c>
    </row>
    <row r="221" spans="1:21">
      <c r="A221" t="s">
        <v>80</v>
      </c>
      <c r="B221" s="1">
        <v>2024</v>
      </c>
      <c r="C221" s="6">
        <v>7761</v>
      </c>
      <c r="D221" s="6">
        <v>23583</v>
      </c>
      <c r="E221" s="6">
        <v>3500</v>
      </c>
      <c r="F221" s="3">
        <v>0.18415000000000001</v>
      </c>
      <c r="G221" s="3">
        <v>18.414999999999999</v>
      </c>
      <c r="H221" s="1">
        <v>0</v>
      </c>
      <c r="I221" s="6">
        <v>95166</v>
      </c>
      <c r="J221" s="3">
        <v>8.5</v>
      </c>
      <c r="K221" s="3">
        <v>3.6</v>
      </c>
      <c r="L221" s="2">
        <v>3392331</v>
      </c>
      <c r="M221" s="2">
        <v>402316</v>
      </c>
      <c r="N221" s="3">
        <v>11.9</v>
      </c>
      <c r="O221" s="3">
        <v>8.4</v>
      </c>
      <c r="P221" s="1">
        <v>1</v>
      </c>
      <c r="Q221" t="s">
        <v>36</v>
      </c>
      <c r="R221" s="7">
        <v>32016.5</v>
      </c>
      <c r="S221" s="6">
        <f>R221*1000000/L221</f>
        <v>9437.9056760675776</v>
      </c>
      <c r="T221" s="8">
        <f>LN(S221)</f>
        <v>9.1524893781770125</v>
      </c>
      <c r="U221" s="3">
        <f>IF(B221=2020,"",IF(A221=A220,(S221/S220-1)*100,""))</f>
        <v>6.0960034263912721</v>
      </c>
    </row>
    <row r="222" spans="1:21">
      <c r="A222" t="s">
        <v>81</v>
      </c>
      <c r="B222" s="1">
        <v>2020</v>
      </c>
      <c r="C222" s="6">
        <v>7868</v>
      </c>
      <c r="D222" s="6">
        <v>22288</v>
      </c>
      <c r="E222" s="6">
        <v>2800</v>
      </c>
      <c r="F222" s="3">
        <v>0.18149999999999999</v>
      </c>
      <c r="G222" s="3">
        <v>18.149999999999999</v>
      </c>
      <c r="H222" s="1">
        <v>1</v>
      </c>
      <c r="I222" s="6">
        <v>63477</v>
      </c>
      <c r="J222" s="3">
        <v>10.8</v>
      </c>
      <c r="K222" s="3">
        <v>3.8</v>
      </c>
      <c r="L222" s="2">
        <v>624340</v>
      </c>
      <c r="M222" s="2">
        <v>120872</v>
      </c>
      <c r="N222" s="3">
        <v>19.399999999999999</v>
      </c>
      <c r="O222" s="3">
        <v>4</v>
      </c>
      <c r="P222" s="1">
        <v>1</v>
      </c>
      <c r="Q222" t="s">
        <v>26</v>
      </c>
      <c r="R222" s="7">
        <v>6691.6</v>
      </c>
      <c r="S222" s="6">
        <f>R222*1000000/L222</f>
        <v>10717.87807925169</v>
      </c>
      <c r="T222" s="8">
        <f>LN(S222)</f>
        <v>9.2796684746636995</v>
      </c>
      <c r="U222" s="3" t="str">
        <f>IF(B222=2020,"",IF(A222=A221,(S222/S221-1)*100,""))</f>
        <v/>
      </c>
    </row>
    <row r="223" spans="1:21">
      <c r="A223" t="s">
        <v>81</v>
      </c>
      <c r="B223" s="1">
        <v>2021</v>
      </c>
      <c r="C223" s="6">
        <v>8050</v>
      </c>
      <c r="D223" s="6">
        <v>23447</v>
      </c>
      <c r="E223" s="6">
        <v>3500</v>
      </c>
      <c r="F223" s="3">
        <v>0.20324999999999999</v>
      </c>
      <c r="G223" s="3">
        <v>20.324999999999999</v>
      </c>
      <c r="H223" s="1">
        <v>1</v>
      </c>
      <c r="I223" s="6">
        <v>67674</v>
      </c>
      <c r="J223" s="3">
        <v>10.5</v>
      </c>
      <c r="K223" s="3">
        <v>3.9</v>
      </c>
      <c r="L223" s="2">
        <v>641637</v>
      </c>
      <c r="M223" s="2">
        <v>125131</v>
      </c>
      <c r="N223" s="3">
        <v>19.5</v>
      </c>
      <c r="O223" s="3">
        <v>4.0999999999999996</v>
      </c>
      <c r="P223" s="1">
        <v>1</v>
      </c>
      <c r="Q223" t="s">
        <v>26</v>
      </c>
      <c r="R223" s="7">
        <v>7147.4</v>
      </c>
      <c r="S223" s="6">
        <f>R223*1000000/L223</f>
        <v>11139.320207531673</v>
      </c>
      <c r="T223" s="8">
        <f>LN(S223)</f>
        <v>9.3182364889560922</v>
      </c>
      <c r="U223" s="3">
        <f>IF(B223=2020,"",IF(A223=A222,(S223/S222-1)*100,""))</f>
        <v>3.9321414664702736</v>
      </c>
    </row>
    <row r="224" spans="1:21">
      <c r="A224" t="s">
        <v>81</v>
      </c>
      <c r="B224" s="1">
        <v>2022</v>
      </c>
      <c r="C224" s="6">
        <v>8417</v>
      </c>
      <c r="D224" s="6">
        <v>23881</v>
      </c>
      <c r="E224" s="6">
        <v>2600</v>
      </c>
      <c r="F224" s="3">
        <v>0.17422000000000001</v>
      </c>
      <c r="G224" s="3">
        <v>17.422000000000001</v>
      </c>
      <c r="H224" s="1">
        <v>1</v>
      </c>
      <c r="I224" s="6">
        <v>74014</v>
      </c>
      <c r="J224" s="3">
        <v>10.4</v>
      </c>
      <c r="K224" s="3">
        <v>3.8</v>
      </c>
      <c r="L224" s="2">
        <v>643816</v>
      </c>
      <c r="M224" s="2">
        <v>130760</v>
      </c>
      <c r="N224" s="3">
        <v>20.3</v>
      </c>
      <c r="O224" s="3">
        <v>4.0999999999999996</v>
      </c>
      <c r="P224" s="1">
        <v>1</v>
      </c>
      <c r="Q224" t="s">
        <v>26</v>
      </c>
      <c r="R224" s="7">
        <v>7569.5</v>
      </c>
      <c r="S224" s="6">
        <f>R224*1000000/L224</f>
        <v>11757.241199348882</v>
      </c>
      <c r="T224" s="8">
        <f>LN(S224)</f>
        <v>9.3722246020395339</v>
      </c>
      <c r="U224" s="3">
        <f>IF(B224=2020,"",IF(A224=A223,(S224/S223-1)*100,""))</f>
        <v>5.5472055772255446</v>
      </c>
    </row>
    <row r="225" spans="1:21">
      <c r="A225" t="s">
        <v>81</v>
      </c>
      <c r="B225" s="1">
        <v>2023</v>
      </c>
      <c r="C225" s="6">
        <v>8284</v>
      </c>
      <c r="D225" s="6">
        <v>25588</v>
      </c>
      <c r="E225" s="6">
        <v>3749</v>
      </c>
      <c r="F225" s="3">
        <v>0.20774000000000001</v>
      </c>
      <c r="G225" s="3">
        <v>20.774000000000001</v>
      </c>
      <c r="H225" s="1">
        <v>1</v>
      </c>
      <c r="I225" s="6">
        <v>78024</v>
      </c>
      <c r="J225" s="3">
        <v>10.3</v>
      </c>
      <c r="K225" s="3">
        <v>3.7</v>
      </c>
      <c r="L225" s="2">
        <v>645254</v>
      </c>
      <c r="M225" s="2">
        <v>134141</v>
      </c>
      <c r="N225" s="3">
        <v>20.8</v>
      </c>
      <c r="O225" s="3">
        <v>3.9</v>
      </c>
      <c r="P225" s="1">
        <v>1</v>
      </c>
      <c r="Q225" t="s">
        <v>26</v>
      </c>
      <c r="R225" s="7">
        <v>8045</v>
      </c>
      <c r="S225" s="6">
        <f>R225*1000000/L225</f>
        <v>12467.958354384475</v>
      </c>
      <c r="T225" s="8">
        <f>LN(S225)</f>
        <v>9.4309173006814948</v>
      </c>
      <c r="U225" s="3">
        <f>IF(B225=2020,"",IF(A225=A224,(S225/S224-1)*100,""))</f>
        <v>6.0449313149665729</v>
      </c>
    </row>
    <row r="226" spans="1:21">
      <c r="A226" t="s">
        <v>81</v>
      </c>
      <c r="B226" s="1">
        <v>2024</v>
      </c>
      <c r="C226" s="6">
        <v>8734</v>
      </c>
      <c r="D226" s="6">
        <v>25901</v>
      </c>
      <c r="E226" s="6">
        <v>3120</v>
      </c>
      <c r="F226" s="3">
        <v>0.20175000000000001</v>
      </c>
      <c r="G226" s="3">
        <v>20.175000000000001</v>
      </c>
      <c r="H226" s="1">
        <v>1</v>
      </c>
      <c r="I226" s="6">
        <v>81203</v>
      </c>
      <c r="J226" s="3">
        <v>10.1</v>
      </c>
      <c r="K226" s="3">
        <v>3.6</v>
      </c>
      <c r="L226" s="2">
        <v>647106</v>
      </c>
      <c r="M226" s="2">
        <v>138679</v>
      </c>
      <c r="N226" s="3">
        <v>21.4</v>
      </c>
      <c r="O226" s="3">
        <v>3.9</v>
      </c>
      <c r="P226" s="1">
        <v>1</v>
      </c>
      <c r="Q226" t="s">
        <v>26</v>
      </c>
      <c r="R226" s="7">
        <v>8811.7000000000007</v>
      </c>
      <c r="S226" s="6">
        <f>R226*1000000/L226</f>
        <v>13617.089008601373</v>
      </c>
      <c r="T226" s="8">
        <f>LN(S226)</f>
        <v>9.519080827682588</v>
      </c>
      <c r="U226" s="3">
        <f>IF(B226=2020,"",IF(A226=A225,(S226/S225-1)*100,""))</f>
        <v>9.2166706172289725</v>
      </c>
    </row>
    <row r="227" spans="1:21">
      <c r="A227" t="s">
        <v>82</v>
      </c>
      <c r="B227" s="1">
        <v>2020</v>
      </c>
      <c r="C227" s="6">
        <v>6928</v>
      </c>
      <c r="D227" s="6">
        <v>20458</v>
      </c>
      <c r="E227" s="6">
        <v>2820</v>
      </c>
      <c r="F227" s="3">
        <v>0.18734999999999999</v>
      </c>
      <c r="G227" s="3">
        <v>18.734999999999999</v>
      </c>
      <c r="H227" s="1">
        <v>1</v>
      </c>
      <c r="I227" s="6">
        <v>76398</v>
      </c>
      <c r="J227" s="3">
        <v>10</v>
      </c>
      <c r="K227" s="3">
        <v>4.5999999999999996</v>
      </c>
      <c r="L227" s="2">
        <v>8509358</v>
      </c>
      <c r="M227" s="2">
        <v>1314345</v>
      </c>
      <c r="N227" s="3">
        <v>15.4</v>
      </c>
      <c r="O227" s="3">
        <v>8.1999999999999993</v>
      </c>
      <c r="P227" s="1">
        <v>1</v>
      </c>
      <c r="Q227" t="s">
        <v>83</v>
      </c>
      <c r="R227" s="7">
        <v>68932.100000000006</v>
      </c>
      <c r="S227" s="6">
        <f>R227*1000000/L227</f>
        <v>8100.7403848797994</v>
      </c>
      <c r="T227" s="8">
        <f>LN(S227)</f>
        <v>8.9997107420240141</v>
      </c>
      <c r="U227" s="3" t="str">
        <f>IF(B227=2020,"",IF(A227=A226,(S227/S226-1)*100,""))</f>
        <v/>
      </c>
    </row>
    <row r="228" spans="1:21">
      <c r="A228" t="s">
        <v>82</v>
      </c>
      <c r="B228" s="1">
        <v>2021</v>
      </c>
      <c r="C228" s="6">
        <v>7324</v>
      </c>
      <c r="D228" s="6">
        <v>21348</v>
      </c>
      <c r="E228" s="6">
        <v>2830</v>
      </c>
      <c r="F228" s="3">
        <v>0.17069000000000001</v>
      </c>
      <c r="G228" s="3">
        <v>17.069000000000003</v>
      </c>
      <c r="H228" s="1">
        <v>1</v>
      </c>
      <c r="I228" s="6">
        <v>80615</v>
      </c>
      <c r="J228" s="3">
        <v>9.9</v>
      </c>
      <c r="K228" s="3">
        <v>4.5999999999999996</v>
      </c>
      <c r="L228" s="2">
        <v>8582479</v>
      </c>
      <c r="M228" s="2">
        <v>1328600</v>
      </c>
      <c r="N228" s="3">
        <v>15.5</v>
      </c>
      <c r="O228" s="3">
        <v>7.9</v>
      </c>
      <c r="P228" s="1">
        <v>1</v>
      </c>
      <c r="Q228" t="s">
        <v>83</v>
      </c>
      <c r="R228" s="7">
        <v>76415.100000000006</v>
      </c>
      <c r="S228" s="6">
        <f>R228*1000000/L228</f>
        <v>8903.616309460238</v>
      </c>
      <c r="T228" s="8">
        <f>LN(S228)</f>
        <v>9.0942128000974538</v>
      </c>
      <c r="U228" s="3">
        <f>IF(B228=2020,"",IF(A228=A227,(S228/S227-1)*100,""))</f>
        <v>9.9111425182693669</v>
      </c>
    </row>
    <row r="229" spans="1:21">
      <c r="A229" t="s">
        <v>82</v>
      </c>
      <c r="B229" s="1">
        <v>2022</v>
      </c>
      <c r="C229" s="6">
        <v>7676</v>
      </c>
      <c r="D229" s="6">
        <v>19904</v>
      </c>
      <c r="E229" s="6">
        <v>2500</v>
      </c>
      <c r="F229" s="3">
        <v>0.15951000000000001</v>
      </c>
      <c r="G229" s="3">
        <v>15.951000000000001</v>
      </c>
      <c r="H229" s="1">
        <v>1</v>
      </c>
      <c r="I229" s="6">
        <v>87249</v>
      </c>
      <c r="J229" s="3">
        <v>10</v>
      </c>
      <c r="K229" s="3">
        <v>4.4000000000000004</v>
      </c>
      <c r="L229" s="2">
        <v>8624511</v>
      </c>
      <c r="M229" s="2">
        <v>1381006</v>
      </c>
      <c r="N229" s="3">
        <v>16</v>
      </c>
      <c r="O229" s="3">
        <v>7.4</v>
      </c>
      <c r="P229" s="1">
        <v>1</v>
      </c>
      <c r="Q229" t="s">
        <v>83</v>
      </c>
      <c r="R229" s="7">
        <v>82868.5</v>
      </c>
      <c r="S229" s="6">
        <f>R229*1000000/L229</f>
        <v>9608.4867884103805</v>
      </c>
      <c r="T229" s="8">
        <f>LN(S229)</f>
        <v>9.1704020273817228</v>
      </c>
      <c r="U229" s="3">
        <f>IF(B229=2020,"",IF(A229=A228,(S229/S228-1)*100,""))</f>
        <v>7.916676263342648</v>
      </c>
    </row>
    <row r="230" spans="1:21">
      <c r="A230" t="s">
        <v>82</v>
      </c>
      <c r="B230" s="1">
        <v>2023</v>
      </c>
      <c r="C230" s="6">
        <v>8144</v>
      </c>
      <c r="D230" s="6">
        <v>24251</v>
      </c>
      <c r="E230" s="6">
        <v>3005</v>
      </c>
      <c r="F230" s="3">
        <v>0.15218999999999999</v>
      </c>
      <c r="G230" s="3">
        <v>15.218999999999999</v>
      </c>
      <c r="H230" s="1">
        <v>1</v>
      </c>
      <c r="I230" s="6">
        <v>90974</v>
      </c>
      <c r="J230" s="3">
        <v>9.9</v>
      </c>
      <c r="K230" s="3">
        <v>4.3</v>
      </c>
      <c r="L230" s="2">
        <v>8657499</v>
      </c>
      <c r="M230" s="2">
        <v>1410160</v>
      </c>
      <c r="N230" s="3">
        <v>16.3</v>
      </c>
      <c r="O230" s="3">
        <v>7.1</v>
      </c>
      <c r="P230" s="1">
        <v>1</v>
      </c>
      <c r="Q230" t="s">
        <v>83</v>
      </c>
      <c r="R230" s="7">
        <v>91449.8</v>
      </c>
      <c r="S230" s="6">
        <f>R230*1000000/L230</f>
        <v>10563.073700614923</v>
      </c>
      <c r="T230" s="8">
        <f>LN(S230)</f>
        <v>9.265119585041548</v>
      </c>
      <c r="U230" s="3">
        <f>IF(B230=2020,"",IF(A230=A229,(S230/S229-1)*100,""))</f>
        <v>9.9348308763451918</v>
      </c>
    </row>
    <row r="231" spans="1:21">
      <c r="A231" t="s">
        <v>82</v>
      </c>
      <c r="B231" s="1">
        <v>2024</v>
      </c>
      <c r="C231" s="6">
        <v>8182</v>
      </c>
      <c r="D231" s="6">
        <v>25523</v>
      </c>
      <c r="E231" s="6">
        <v>2500</v>
      </c>
      <c r="F231" s="3">
        <v>0.14951</v>
      </c>
      <c r="G231" s="3">
        <v>14.951000000000001</v>
      </c>
      <c r="H231" s="1">
        <v>1</v>
      </c>
      <c r="I231" s="6">
        <v>93170</v>
      </c>
      <c r="J231" s="3">
        <v>9.9</v>
      </c>
      <c r="K231" s="3">
        <v>4.3</v>
      </c>
      <c r="L231" s="2">
        <v>8705170</v>
      </c>
      <c r="M231" s="2">
        <v>1453743</v>
      </c>
      <c r="N231" s="3">
        <v>16.7</v>
      </c>
      <c r="O231" s="3">
        <v>6.9</v>
      </c>
      <c r="P231" s="1">
        <v>1</v>
      </c>
      <c r="Q231" t="s">
        <v>83</v>
      </c>
      <c r="R231" s="7">
        <v>99295.2</v>
      </c>
      <c r="S231" s="6">
        <f>R231*1000000/L231</f>
        <v>11406.463055862207</v>
      </c>
      <c r="T231" s="8">
        <f>LN(S231)</f>
        <v>9.3419354084605661</v>
      </c>
      <c r="U231" s="3">
        <f>IF(B231=2020,"",IF(A231=A230,(S231/S230-1)*100,""))</f>
        <v>7.9843176252588854</v>
      </c>
    </row>
    <row r="232" spans="1:21">
      <c r="A232" t="s">
        <v>84</v>
      </c>
      <c r="B232" s="1">
        <v>2020</v>
      </c>
      <c r="C232" s="6">
        <v>7440</v>
      </c>
      <c r="D232" s="6">
        <v>19476</v>
      </c>
      <c r="E232" s="6">
        <v>1850</v>
      </c>
      <c r="F232" s="3">
        <v>0.13342000000000001</v>
      </c>
      <c r="G232" s="3">
        <v>13.342000000000001</v>
      </c>
      <c r="H232" s="1">
        <v>1</v>
      </c>
      <c r="I232" s="6">
        <v>77006</v>
      </c>
      <c r="J232" s="3">
        <v>10.199999999999999</v>
      </c>
      <c r="K232" s="3">
        <v>4.9000000000000004</v>
      </c>
      <c r="L232" s="2">
        <v>7512465</v>
      </c>
      <c r="M232" s="2">
        <v>1160604</v>
      </c>
      <c r="N232" s="3">
        <v>15.4</v>
      </c>
      <c r="O232" s="3">
        <v>6.2</v>
      </c>
      <c r="P232" s="1">
        <v>1</v>
      </c>
      <c r="Q232" t="s">
        <v>26</v>
      </c>
      <c r="R232" s="7">
        <v>64587.199999999997</v>
      </c>
      <c r="S232" s="6">
        <f>R232*1000000/L232</f>
        <v>8597.3378910916726</v>
      </c>
      <c r="T232" s="8">
        <f>LN(S232)</f>
        <v>9.0592078867743879</v>
      </c>
      <c r="U232" s="3" t="str">
        <f>IF(B232=2020,"",IF(A232=A231,(S232/S231-1)*100,""))</f>
        <v/>
      </c>
    </row>
    <row r="233" spans="1:21">
      <c r="A233" t="s">
        <v>84</v>
      </c>
      <c r="B233" s="1">
        <v>2021</v>
      </c>
      <c r="C233" s="6">
        <v>7571</v>
      </c>
      <c r="D233" s="6">
        <v>21914</v>
      </c>
      <c r="E233" s="6">
        <v>2000</v>
      </c>
      <c r="F233" s="3">
        <v>0.13222999999999999</v>
      </c>
      <c r="G233" s="3">
        <v>13.222999999999999</v>
      </c>
      <c r="H233" s="1">
        <v>1</v>
      </c>
      <c r="I233" s="6">
        <v>82400</v>
      </c>
      <c r="J233" s="3">
        <v>10</v>
      </c>
      <c r="K233" s="3">
        <v>5.0999999999999996</v>
      </c>
      <c r="L233" s="2">
        <v>7617364</v>
      </c>
      <c r="M233" s="2">
        <v>1177772</v>
      </c>
      <c r="N233" s="3">
        <v>15.5</v>
      </c>
      <c r="O233" s="3">
        <v>6.4</v>
      </c>
      <c r="P233" s="1">
        <v>1</v>
      </c>
      <c r="Q233" t="s">
        <v>26</v>
      </c>
      <c r="R233" s="7">
        <v>72591.100000000006</v>
      </c>
      <c r="S233" s="6">
        <f>R233*1000000/L233</f>
        <v>9529.6876977390075</v>
      </c>
      <c r="T233" s="8">
        <f>LN(S233)</f>
        <v>9.1621672256746649</v>
      </c>
      <c r="U233" s="3">
        <f>IF(B233=2020,"",IF(A233=A232,(S233/S232-1)*100,""))</f>
        <v>10.844633751261657</v>
      </c>
    </row>
    <row r="234" spans="1:21">
      <c r="A234" t="s">
        <v>84</v>
      </c>
      <c r="B234" s="1">
        <v>2022</v>
      </c>
      <c r="C234" s="6">
        <v>7170</v>
      </c>
      <c r="D234" s="6">
        <v>21542</v>
      </c>
      <c r="E234" s="6">
        <v>1800</v>
      </c>
      <c r="F234" s="3">
        <v>0.13128000000000001</v>
      </c>
      <c r="G234" s="3">
        <v>13.128</v>
      </c>
      <c r="H234" s="1">
        <v>1</v>
      </c>
      <c r="I234" s="6">
        <v>90325</v>
      </c>
      <c r="J234" s="3">
        <v>9.9</v>
      </c>
      <c r="K234" s="3">
        <v>5</v>
      </c>
      <c r="L234" s="2">
        <v>7688549</v>
      </c>
      <c r="M234" s="2">
        <v>1228940</v>
      </c>
      <c r="N234" s="3">
        <v>16</v>
      </c>
      <c r="O234" s="3">
        <v>6.4</v>
      </c>
      <c r="P234" s="1">
        <v>1</v>
      </c>
      <c r="Q234" t="s">
        <v>26</v>
      </c>
      <c r="R234" s="7">
        <v>77152.899999999994</v>
      </c>
      <c r="S234" s="6">
        <f>R234*1000000/L234</f>
        <v>10034.780294695396</v>
      </c>
      <c r="T234" s="8">
        <f>LN(S234)</f>
        <v>9.2138123670889591</v>
      </c>
      <c r="U234" s="3">
        <f>IF(B234=2020,"",IF(A234=A233,(S234/S233-1)*100,""))</f>
        <v>5.3002009402283612</v>
      </c>
    </row>
    <row r="235" spans="1:21">
      <c r="A235" t="s">
        <v>84</v>
      </c>
      <c r="B235" s="1">
        <v>2023</v>
      </c>
      <c r="C235" s="6">
        <v>7895</v>
      </c>
      <c r="D235" s="6">
        <v>24355</v>
      </c>
      <c r="E235" s="6">
        <v>2500</v>
      </c>
      <c r="F235" s="3">
        <v>0.14910999999999999</v>
      </c>
      <c r="G235" s="3">
        <v>14.911</v>
      </c>
      <c r="H235" s="1">
        <v>1</v>
      </c>
      <c r="I235" s="6">
        <v>94952</v>
      </c>
      <c r="J235" s="3">
        <v>9.9</v>
      </c>
      <c r="K235" s="3">
        <v>5</v>
      </c>
      <c r="L235" s="2">
        <v>7740984</v>
      </c>
      <c r="M235" s="2">
        <v>1259313</v>
      </c>
      <c r="N235" s="3">
        <v>16.3</v>
      </c>
      <c r="O235" s="3">
        <v>6.4</v>
      </c>
      <c r="P235" s="1">
        <v>1</v>
      </c>
      <c r="Q235" t="s">
        <v>26</v>
      </c>
      <c r="R235" s="7">
        <v>83946.1</v>
      </c>
      <c r="S235" s="6">
        <f>R235*1000000/L235</f>
        <v>10844.370689824445</v>
      </c>
      <c r="T235" s="8">
        <f>LN(S235)</f>
        <v>9.2914013938985995</v>
      </c>
      <c r="U235" s="3">
        <f>IF(B235=2020,"",IF(A235=A234,(S235/S234-1)*100,""))</f>
        <v>8.0678437529620552</v>
      </c>
    </row>
    <row r="236" spans="1:21">
      <c r="A236" t="s">
        <v>84</v>
      </c>
      <c r="B236" s="1">
        <v>2024</v>
      </c>
      <c r="C236" s="6">
        <v>8350</v>
      </c>
      <c r="D236" s="6">
        <v>25355</v>
      </c>
      <c r="E236" s="6">
        <v>2160</v>
      </c>
      <c r="F236" s="3">
        <v>0.14338000000000001</v>
      </c>
      <c r="G236" s="3">
        <v>14.338000000000001</v>
      </c>
      <c r="H236" s="1">
        <v>1</v>
      </c>
      <c r="I236" s="6">
        <v>98141</v>
      </c>
      <c r="J236" s="3">
        <v>9.9</v>
      </c>
      <c r="K236" s="3">
        <v>5.0999999999999996</v>
      </c>
      <c r="L236" s="2">
        <v>7816116</v>
      </c>
      <c r="M236" s="2">
        <v>1299185</v>
      </c>
      <c r="N236" s="3">
        <v>16.600000000000001</v>
      </c>
      <c r="O236" s="3">
        <v>6.3</v>
      </c>
      <c r="P236" s="1">
        <v>1</v>
      </c>
      <c r="Q236" t="s">
        <v>26</v>
      </c>
      <c r="R236" s="7">
        <v>91576.1</v>
      </c>
      <c r="S236" s="6">
        <f>R236*1000000/L236</f>
        <v>11716.317925680734</v>
      </c>
      <c r="T236" s="8">
        <f>LN(S236)</f>
        <v>9.3687378436054587</v>
      </c>
      <c r="U236" s="3">
        <f>IF(B236=2020,"",IF(A236=A235,(S236/S235-1)*100,""))</f>
        <v>8.0405517368975499</v>
      </c>
    </row>
    <row r="237" spans="1:21">
      <c r="A237" t="s">
        <v>85</v>
      </c>
      <c r="B237" s="1">
        <v>2020</v>
      </c>
      <c r="C237" s="6">
        <v>6993</v>
      </c>
      <c r="D237" s="6">
        <v>22342</v>
      </c>
      <c r="E237" s="6">
        <v>1700</v>
      </c>
      <c r="F237" s="3">
        <v>0.1812</v>
      </c>
      <c r="G237" s="3">
        <v>18.12</v>
      </c>
      <c r="H237" s="1">
        <v>1</v>
      </c>
      <c r="I237" s="6">
        <v>48037</v>
      </c>
      <c r="J237" s="3">
        <v>17.100000000000001</v>
      </c>
      <c r="K237" s="3">
        <v>6.5</v>
      </c>
      <c r="L237" s="2">
        <v>1807426</v>
      </c>
      <c r="M237" s="2">
        <v>360246</v>
      </c>
      <c r="N237" s="3">
        <v>19.899999999999999</v>
      </c>
      <c r="O237" s="3">
        <v>6.2</v>
      </c>
      <c r="P237" s="1">
        <v>1</v>
      </c>
      <c r="Q237" t="s">
        <v>26</v>
      </c>
      <c r="R237" s="7">
        <v>18603.900000000001</v>
      </c>
      <c r="S237" s="6">
        <f>R237*1000000/L237</f>
        <v>10293.035510167498</v>
      </c>
      <c r="T237" s="8">
        <f>LN(S237)</f>
        <v>9.2392227814543002</v>
      </c>
      <c r="U237" s="3" t="str">
        <f>IF(B237=2020,"",IF(A237=A236,(S237/S236-1)*100,""))</f>
        <v/>
      </c>
    </row>
    <row r="238" spans="1:21">
      <c r="A238" t="s">
        <v>85</v>
      </c>
      <c r="B238" s="1">
        <v>2021</v>
      </c>
      <c r="C238" s="6">
        <v>8046</v>
      </c>
      <c r="D238" s="6">
        <v>23384</v>
      </c>
      <c r="E238" s="6">
        <v>1288</v>
      </c>
      <c r="F238" s="3">
        <v>0.17473</v>
      </c>
      <c r="G238" s="3">
        <v>17.472999999999999</v>
      </c>
      <c r="H238" s="1">
        <v>1</v>
      </c>
      <c r="I238" s="6">
        <v>50884</v>
      </c>
      <c r="J238" s="3">
        <v>16.899999999999999</v>
      </c>
      <c r="K238" s="3">
        <v>6.4</v>
      </c>
      <c r="L238" s="2">
        <v>1801049</v>
      </c>
      <c r="M238" s="2">
        <v>358875</v>
      </c>
      <c r="N238" s="3">
        <v>19.899999999999999</v>
      </c>
      <c r="O238" s="3">
        <v>6.4</v>
      </c>
      <c r="P238" s="1">
        <v>1</v>
      </c>
      <c r="Q238" t="s">
        <v>26</v>
      </c>
      <c r="R238" s="7">
        <v>20154.099999999999</v>
      </c>
      <c r="S238" s="6">
        <f>R238*1000000/L238</f>
        <v>11190.200821854374</v>
      </c>
      <c r="T238" s="8">
        <f>LN(S238)</f>
        <v>9.3227937476913478</v>
      </c>
      <c r="U238" s="3">
        <f>IF(B238=2020,"",IF(A238=A237,(S238/S237-1)*100,""))</f>
        <v>8.7162364377413546</v>
      </c>
    </row>
    <row r="239" spans="1:21">
      <c r="A239" t="s">
        <v>85</v>
      </c>
      <c r="B239" s="1">
        <v>2022</v>
      </c>
      <c r="C239" s="6">
        <v>8065</v>
      </c>
      <c r="D239" s="6">
        <v>24165</v>
      </c>
      <c r="E239" s="6">
        <v>1500</v>
      </c>
      <c r="F239" s="3">
        <v>0.19589999999999999</v>
      </c>
      <c r="G239" s="3">
        <v>19.59</v>
      </c>
      <c r="H239" s="1">
        <v>1</v>
      </c>
      <c r="I239" s="6">
        <v>55217</v>
      </c>
      <c r="J239" s="3">
        <v>16.8</v>
      </c>
      <c r="K239" s="3">
        <v>6.1</v>
      </c>
      <c r="L239" s="2">
        <v>1792967</v>
      </c>
      <c r="M239" s="2">
        <v>366444</v>
      </c>
      <c r="N239" s="3">
        <v>20.399999999999999</v>
      </c>
      <c r="O239" s="3">
        <v>6.4</v>
      </c>
      <c r="P239" s="1">
        <v>1</v>
      </c>
      <c r="Q239" t="s">
        <v>26</v>
      </c>
      <c r="R239" s="7">
        <v>21388.799999999999</v>
      </c>
      <c r="S239" s="6">
        <f>R239*1000000/L239</f>
        <v>11929.277002867315</v>
      </c>
      <c r="T239" s="8">
        <f>LN(S239)</f>
        <v>9.3867509099753175</v>
      </c>
      <c r="U239" s="3">
        <f>IF(B239=2020,"",IF(A239=A238,(S239/S238-1)*100,""))</f>
        <v>6.6046730776228024</v>
      </c>
    </row>
    <row r="240" spans="1:21">
      <c r="A240" t="s">
        <v>85</v>
      </c>
      <c r="B240" s="1">
        <v>2023</v>
      </c>
      <c r="C240" s="6">
        <v>8669</v>
      </c>
      <c r="D240" s="6">
        <v>24774</v>
      </c>
      <c r="E240" s="6">
        <v>1350</v>
      </c>
      <c r="F240" s="3">
        <v>0.16042999999999999</v>
      </c>
      <c r="G240" s="3">
        <v>16.042999999999999</v>
      </c>
      <c r="H240" s="1">
        <v>1</v>
      </c>
      <c r="I240" s="6">
        <v>57917</v>
      </c>
      <c r="J240" s="3">
        <v>16.600000000000001</v>
      </c>
      <c r="K240" s="3">
        <v>5.7</v>
      </c>
      <c r="L240" s="2">
        <v>1784462</v>
      </c>
      <c r="M240" s="2">
        <v>368989</v>
      </c>
      <c r="N240" s="3">
        <v>20.7</v>
      </c>
      <c r="O240" s="3">
        <v>6.2</v>
      </c>
      <c r="P240" s="1">
        <v>1</v>
      </c>
      <c r="Q240" t="s">
        <v>26</v>
      </c>
      <c r="R240" s="7">
        <v>23310.799999999999</v>
      </c>
      <c r="S240" s="6">
        <f>R240*1000000/L240</f>
        <v>13063.208967184508</v>
      </c>
      <c r="T240" s="8">
        <f>LN(S240)</f>
        <v>9.4775550822341028</v>
      </c>
      <c r="U240" s="3">
        <f>IF(B240=2020,"",IF(A240=A239,(S240/S239-1)*100,""))</f>
        <v>9.5054542202737125</v>
      </c>
    </row>
    <row r="241" spans="1:21">
      <c r="A241" t="s">
        <v>85</v>
      </c>
      <c r="B241" s="1">
        <v>2024</v>
      </c>
      <c r="C241" s="6">
        <v>8935</v>
      </c>
      <c r="D241" s="6">
        <v>25483</v>
      </c>
      <c r="E241" s="6">
        <v>1700</v>
      </c>
      <c r="F241" s="3">
        <v>0.18285000000000001</v>
      </c>
      <c r="G241" s="3">
        <v>18.285</v>
      </c>
      <c r="H241" s="1">
        <v>1</v>
      </c>
      <c r="I241" s="6">
        <v>59608</v>
      </c>
      <c r="J241" s="3">
        <v>16.7</v>
      </c>
      <c r="K241" s="3">
        <v>5.4</v>
      </c>
      <c r="L241" s="2">
        <v>1778373</v>
      </c>
      <c r="M241" s="2">
        <v>374092</v>
      </c>
      <c r="N241" s="3">
        <v>21</v>
      </c>
      <c r="O241" s="3">
        <v>6</v>
      </c>
      <c r="P241" s="1">
        <v>1</v>
      </c>
      <c r="Q241" t="s">
        <v>26</v>
      </c>
      <c r="R241" s="7">
        <v>25292.2</v>
      </c>
      <c r="S241" s="6">
        <f>R241*1000000/L241</f>
        <v>14222.100762888325</v>
      </c>
      <c r="T241" s="8">
        <f>LN(S241)</f>
        <v>9.5625524254196534</v>
      </c>
      <c r="U241" s="3">
        <f>IF(B241=2020,"",IF(A241=A240,(S241/S240-1)*100,""))</f>
        <v>8.8714174183006413</v>
      </c>
    </row>
    <row r="242" spans="1:21">
      <c r="A242" t="s">
        <v>86</v>
      </c>
      <c r="B242" s="1">
        <v>2020</v>
      </c>
      <c r="C242" s="6">
        <v>7250</v>
      </c>
      <c r="D242" s="6">
        <v>21474</v>
      </c>
      <c r="E242" s="6">
        <v>3200</v>
      </c>
      <c r="F242" s="3">
        <v>0.20566999999999999</v>
      </c>
      <c r="G242" s="3">
        <v>20.567</v>
      </c>
      <c r="H242" s="1">
        <v>1</v>
      </c>
      <c r="I242" s="6">
        <v>63293</v>
      </c>
      <c r="J242" s="3">
        <v>11</v>
      </c>
      <c r="K242" s="3">
        <v>3.6</v>
      </c>
      <c r="L242" s="2">
        <v>5806975</v>
      </c>
      <c r="M242" s="2">
        <v>982799</v>
      </c>
      <c r="N242" s="3">
        <v>16.899999999999999</v>
      </c>
      <c r="O242" s="3">
        <v>5.5</v>
      </c>
      <c r="P242" s="1">
        <v>0</v>
      </c>
      <c r="Q242" t="s">
        <v>22</v>
      </c>
      <c r="R242" s="7">
        <v>53780.5</v>
      </c>
      <c r="S242" s="6">
        <f>R242*1000000/L242</f>
        <v>9261.3624133046887</v>
      </c>
      <c r="T242" s="8">
        <f>LN(S242)</f>
        <v>9.1336064456844319</v>
      </c>
      <c r="U242" s="3" t="str">
        <f>IF(B242=2020,"",IF(A242=A241,(S242/S241-1)*100,""))</f>
        <v/>
      </c>
    </row>
    <row r="243" spans="1:21">
      <c r="A243" t="s">
        <v>86</v>
      </c>
      <c r="B243" s="1">
        <v>2021</v>
      </c>
      <c r="C243" s="6">
        <v>7254</v>
      </c>
      <c r="D243" s="6">
        <v>21166</v>
      </c>
      <c r="E243" s="6">
        <v>3150</v>
      </c>
      <c r="F243" s="3">
        <v>0.18856000000000001</v>
      </c>
      <c r="G243" s="3">
        <v>18.856000000000002</v>
      </c>
      <c r="H243" s="1">
        <v>1</v>
      </c>
      <c r="I243" s="6">
        <v>67080</v>
      </c>
      <c r="J243" s="3">
        <v>10.7</v>
      </c>
      <c r="K243" s="3">
        <v>3.5</v>
      </c>
      <c r="L243" s="2">
        <v>5871661</v>
      </c>
      <c r="M243" s="2">
        <v>997078</v>
      </c>
      <c r="N243" s="3">
        <v>17</v>
      </c>
      <c r="O243" s="3">
        <v>5.5</v>
      </c>
      <c r="P243" s="1">
        <v>0</v>
      </c>
      <c r="Q243" t="s">
        <v>22</v>
      </c>
      <c r="R243" s="7">
        <v>58885.7</v>
      </c>
      <c r="S243" s="6">
        <f>R243*1000000/L243</f>
        <v>10028.797643460683</v>
      </c>
      <c r="T243" s="8">
        <f>LN(S243)</f>
        <v>9.2132159977444221</v>
      </c>
      <c r="U243" s="3">
        <f>IF(B243=2020,"",IF(A243=A242,(S243/S242-1)*100,""))</f>
        <v>8.2864183033536385</v>
      </c>
    </row>
    <row r="244" spans="1:21">
      <c r="A244" t="s">
        <v>86</v>
      </c>
      <c r="B244" s="1">
        <v>2022</v>
      </c>
      <c r="C244" s="6">
        <v>7673</v>
      </c>
      <c r="D244" s="6">
        <v>22664</v>
      </c>
      <c r="E244" s="6">
        <v>2746</v>
      </c>
      <c r="F244" s="3">
        <v>0.15099000000000001</v>
      </c>
      <c r="G244" s="3">
        <v>15.099000000000002</v>
      </c>
      <c r="H244" s="1">
        <v>1</v>
      </c>
      <c r="I244" s="6">
        <v>72458</v>
      </c>
      <c r="J244" s="3">
        <v>10.7</v>
      </c>
      <c r="K244" s="3">
        <v>3.4</v>
      </c>
      <c r="L244" s="2">
        <v>5882128</v>
      </c>
      <c r="M244" s="2">
        <v>1038620</v>
      </c>
      <c r="N244" s="3">
        <v>17.7</v>
      </c>
      <c r="O244" s="3">
        <v>5.4</v>
      </c>
      <c r="P244" s="1">
        <v>0</v>
      </c>
      <c r="Q244" t="s">
        <v>22</v>
      </c>
      <c r="R244" s="7">
        <v>62314.2</v>
      </c>
      <c r="S244" s="6">
        <f>R244*1000000/L244</f>
        <v>10593.819107642676</v>
      </c>
      <c r="T244" s="8">
        <f>LN(S244)</f>
        <v>9.2680260069768803</v>
      </c>
      <c r="U244" s="3">
        <f>IF(B244=2020,"",IF(A244=A243,(S244/S243-1)*100,""))</f>
        <v>5.6339900780670193</v>
      </c>
    </row>
    <row r="245" spans="1:21">
      <c r="A245" t="s">
        <v>86</v>
      </c>
      <c r="B245" s="1">
        <v>2023</v>
      </c>
      <c r="C245" s="6">
        <v>7978</v>
      </c>
      <c r="D245" s="6">
        <v>23747</v>
      </c>
      <c r="E245" s="6">
        <v>3700</v>
      </c>
      <c r="F245" s="3">
        <v>0.16417999999999999</v>
      </c>
      <c r="G245" s="3">
        <v>16.417999999999999</v>
      </c>
      <c r="H245" s="1">
        <v>1</v>
      </c>
      <c r="I245" s="6">
        <v>75670</v>
      </c>
      <c r="J245" s="3">
        <v>10.6</v>
      </c>
      <c r="K245" s="3">
        <v>3.3</v>
      </c>
      <c r="L245" s="2">
        <v>5892023</v>
      </c>
      <c r="M245" s="2">
        <v>1062121</v>
      </c>
      <c r="N245" s="3">
        <v>18</v>
      </c>
      <c r="O245" s="3">
        <v>5.3</v>
      </c>
      <c r="P245" s="1">
        <v>0</v>
      </c>
      <c r="Q245" t="s">
        <v>22</v>
      </c>
      <c r="R245" s="7">
        <v>66501.8</v>
      </c>
      <c r="S245" s="6">
        <f>R245*1000000/L245</f>
        <v>11286.751596183518</v>
      </c>
      <c r="T245" s="8">
        <f>LN(S245)</f>
        <v>9.3313848917559312</v>
      </c>
      <c r="U245" s="3">
        <f>IF(B245=2020,"",IF(A245=A244,(S245/S244-1)*100,""))</f>
        <v>6.5409129748207784</v>
      </c>
    </row>
    <row r="246" spans="1:21">
      <c r="A246" t="s">
        <v>86</v>
      </c>
      <c r="B246" s="1">
        <v>2024</v>
      </c>
      <c r="C246" s="6">
        <v>8224</v>
      </c>
      <c r="D246" s="6">
        <v>25781</v>
      </c>
      <c r="E246" s="6">
        <v>3400</v>
      </c>
      <c r="F246" s="3">
        <v>0.18603</v>
      </c>
      <c r="G246" s="3">
        <v>18.603000000000002</v>
      </c>
      <c r="H246" s="1">
        <v>1</v>
      </c>
      <c r="I246" s="6">
        <v>77485</v>
      </c>
      <c r="J246" s="3">
        <v>10.6</v>
      </c>
      <c r="K246" s="3">
        <v>3.2</v>
      </c>
      <c r="L246" s="2">
        <v>5914872</v>
      </c>
      <c r="M246" s="2">
        <v>1096043</v>
      </c>
      <c r="N246" s="3">
        <v>18.5</v>
      </c>
      <c r="O246" s="3">
        <v>5.2</v>
      </c>
      <c r="P246" s="1">
        <v>0</v>
      </c>
      <c r="Q246" t="s">
        <v>22</v>
      </c>
      <c r="R246" s="7">
        <v>71717.5</v>
      </c>
      <c r="S246" s="6">
        <f>R246*1000000/L246</f>
        <v>12124.945391886757</v>
      </c>
      <c r="T246" s="8">
        <f>LN(S246)</f>
        <v>9.4030202120336241</v>
      </c>
      <c r="U246" s="3">
        <f>IF(B246=2020,"",IF(A246=A245,(S246/S245-1)*100,""))</f>
        <v>7.4263510502584618</v>
      </c>
    </row>
    <row r="247" spans="1:21">
      <c r="A247" t="s">
        <v>87</v>
      </c>
      <c r="B247" s="1">
        <v>2020</v>
      </c>
      <c r="C247" s="6">
        <v>7743</v>
      </c>
      <c r="D247" s="6">
        <v>21465</v>
      </c>
      <c r="E247" s="6">
        <v>3100</v>
      </c>
      <c r="F247" s="3">
        <v>0.27400000000000002</v>
      </c>
      <c r="G247" s="3">
        <v>27.400000000000002</v>
      </c>
      <c r="H247" s="1">
        <v>1</v>
      </c>
      <c r="I247" s="6">
        <v>65304</v>
      </c>
      <c r="J247" s="3">
        <v>10.8</v>
      </c>
      <c r="K247" s="3">
        <v>4.4000000000000004</v>
      </c>
      <c r="L247" s="2">
        <v>581348</v>
      </c>
      <c r="M247" s="2">
        <v>95566</v>
      </c>
      <c r="N247" s="3">
        <v>16.399999999999999</v>
      </c>
      <c r="O247" s="3">
        <v>11.4</v>
      </c>
      <c r="P247" s="1">
        <v>0</v>
      </c>
      <c r="Q247" t="s">
        <v>22</v>
      </c>
      <c r="R247" s="7">
        <v>5115.7</v>
      </c>
      <c r="S247" s="6">
        <f>R247*1000000/L247</f>
        <v>8799.7206492496753</v>
      </c>
      <c r="T247" s="8">
        <f>LN(S247)</f>
        <v>9.0824752555589878</v>
      </c>
      <c r="U247" s="3" t="str">
        <f>IF(B247=2020,"",IF(A247=A246,(S247/S246-1)*100,""))</f>
        <v/>
      </c>
    </row>
    <row r="248" spans="1:21">
      <c r="A248" t="s">
        <v>87</v>
      </c>
      <c r="B248" s="1">
        <v>2021</v>
      </c>
      <c r="C248" s="6">
        <v>7920</v>
      </c>
      <c r="D248" s="6">
        <v>22390</v>
      </c>
      <c r="E248" s="6">
        <v>3132</v>
      </c>
      <c r="F248" s="3">
        <v>0.25678000000000001</v>
      </c>
      <c r="G248" s="3">
        <v>25.678000000000001</v>
      </c>
      <c r="H248" s="1">
        <v>1</v>
      </c>
      <c r="I248" s="6">
        <v>68002</v>
      </c>
      <c r="J248" s="3">
        <v>10.7</v>
      </c>
      <c r="K248" s="3">
        <v>4.2</v>
      </c>
      <c r="L248" s="2">
        <v>576641</v>
      </c>
      <c r="M248" s="2">
        <v>96540</v>
      </c>
      <c r="N248" s="3">
        <v>16.7</v>
      </c>
      <c r="O248" s="3">
        <v>11.7</v>
      </c>
      <c r="P248" s="1">
        <v>0</v>
      </c>
      <c r="Q248" t="s">
        <v>22</v>
      </c>
      <c r="R248" s="7">
        <v>5541.6</v>
      </c>
      <c r="S248" s="6">
        <f>R248*1000000/L248</f>
        <v>9610.1387171567749</v>
      </c>
      <c r="T248" s="8">
        <f>LN(S248)</f>
        <v>9.1705739365278784</v>
      </c>
      <c r="U248" s="3">
        <f>IF(B248=2020,"",IF(A248=A247,(S248/S247-1)*100,""))</f>
        <v>9.2095885791124701</v>
      </c>
    </row>
    <row r="249" spans="1:21">
      <c r="A249" t="s">
        <v>87</v>
      </c>
      <c r="B249" s="1">
        <v>2022</v>
      </c>
      <c r="C249" s="6">
        <v>7982</v>
      </c>
      <c r="D249" s="6">
        <v>22228</v>
      </c>
      <c r="E249" s="6">
        <v>3652</v>
      </c>
      <c r="F249" s="3">
        <v>0.24106</v>
      </c>
      <c r="G249" s="3">
        <v>24.105999999999998</v>
      </c>
      <c r="H249" s="1">
        <v>1</v>
      </c>
      <c r="I249" s="6">
        <v>72495</v>
      </c>
      <c r="J249" s="3">
        <v>10.7</v>
      </c>
      <c r="K249" s="3">
        <v>3.8</v>
      </c>
      <c r="L249" s="2">
        <v>577929</v>
      </c>
      <c r="M249" s="2">
        <v>100891</v>
      </c>
      <c r="N249" s="3">
        <v>17.5</v>
      </c>
      <c r="O249" s="3">
        <v>11.6</v>
      </c>
      <c r="P249" s="1">
        <v>0</v>
      </c>
      <c r="Q249" t="s">
        <v>22</v>
      </c>
      <c r="R249" s="7">
        <v>5803.1</v>
      </c>
      <c r="S249" s="6">
        <f>R249*1000000/L249</f>
        <v>10041.198832382524</v>
      </c>
      <c r="T249" s="8">
        <f>LN(S249)</f>
        <v>9.2144517917332269</v>
      </c>
      <c r="U249" s="3">
        <f>IF(B249=2020,"",IF(A249=A248,(S249/S248-1)*100,""))</f>
        <v>4.48547235282033</v>
      </c>
    </row>
    <row r="250" spans="1:21">
      <c r="A250" t="s">
        <v>87</v>
      </c>
      <c r="B250" s="1">
        <v>2023</v>
      </c>
      <c r="C250" s="6">
        <v>8845</v>
      </c>
      <c r="D250" s="6">
        <v>24984</v>
      </c>
      <c r="E250" s="6">
        <v>3580</v>
      </c>
      <c r="F250" s="3">
        <v>0.25799</v>
      </c>
      <c r="G250" s="3">
        <v>25.798999999999999</v>
      </c>
      <c r="H250" s="1">
        <v>1</v>
      </c>
      <c r="I250" s="6">
        <v>74815</v>
      </c>
      <c r="J250" s="3">
        <v>10.7</v>
      </c>
      <c r="K250" s="3">
        <v>3.7</v>
      </c>
      <c r="L250" s="2">
        <v>579761</v>
      </c>
      <c r="M250" s="2">
        <v>104321</v>
      </c>
      <c r="N250" s="3">
        <v>18</v>
      </c>
      <c r="O250" s="3">
        <v>11.6</v>
      </c>
      <c r="P250" s="1">
        <v>0</v>
      </c>
      <c r="Q250" t="s">
        <v>22</v>
      </c>
      <c r="R250" s="7">
        <v>6249.1</v>
      </c>
      <c r="S250" s="6">
        <f>R250*1000000/L250</f>
        <v>10778.75193398659</v>
      </c>
      <c r="T250" s="8">
        <f>LN(S250)</f>
        <v>9.2853320616923867</v>
      </c>
      <c r="U250" s="3">
        <f>IF(B250=2020,"",IF(A250=A249,(S250/S249-1)*100,""))</f>
        <v>7.345269363907847</v>
      </c>
    </row>
    <row r="251" spans="1:21">
      <c r="A251" t="s">
        <v>87</v>
      </c>
      <c r="B251" s="1">
        <v>2024</v>
      </c>
      <c r="C251" s="6">
        <v>8963</v>
      </c>
      <c r="D251" s="6">
        <v>23676</v>
      </c>
      <c r="E251" s="6">
        <v>3600</v>
      </c>
      <c r="F251" s="3">
        <v>0.21409</v>
      </c>
      <c r="G251" s="3">
        <v>21.408999999999999</v>
      </c>
      <c r="H251" s="1">
        <v>1</v>
      </c>
      <c r="I251" s="6">
        <v>76176</v>
      </c>
      <c r="J251" s="3">
        <v>10.5</v>
      </c>
      <c r="K251" s="3">
        <v>3.7</v>
      </c>
      <c r="L251" s="2">
        <v>582397</v>
      </c>
      <c r="M251" s="2">
        <v>107862</v>
      </c>
      <c r="N251" s="3">
        <v>18.5</v>
      </c>
      <c r="O251" s="3">
        <v>11.3</v>
      </c>
      <c r="P251" s="1">
        <v>0</v>
      </c>
      <c r="Q251" t="s">
        <v>22</v>
      </c>
      <c r="R251" s="7">
        <v>6688.6</v>
      </c>
      <c r="S251" s="6">
        <f>R251*1000000/L251</f>
        <v>11484.605861637338</v>
      </c>
      <c r="T251" s="8">
        <f>LN(S251)</f>
        <v>9.348762796871064</v>
      </c>
      <c r="U251" s="3">
        <f>IF(B251=2020,"",IF(A251=A250,(S251/S250-1)*100,""))</f>
        <v>6.5485682570086023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zoomScaleNormal="100" zoomScaleSheetLayoutView="100" workbookViewId="0"/>
  </sheetViews>
  <sheetFormatPr defaultRowHeight="15"/>
  <cols>
    <col min="1" max="1" width="30" customWidth="1"/>
    <col min="2" max="2" width="55" customWidth="1"/>
    <col min="3" max="3" width="48" customWidth="1"/>
    <col min="4" max="4" width="65" customWidth="1"/>
  </cols>
  <sheetData>
    <row r="1" spans="1:4">
      <c r="A1" s="5" t="s">
        <v>88</v>
      </c>
      <c r="B1" s="5" t="s">
        <v>89</v>
      </c>
      <c r="C1" s="5" t="s">
        <v>90</v>
      </c>
      <c r="D1" s="5" t="s">
        <v>91</v>
      </c>
    </row>
    <row r="2" spans="1:4">
      <c r="A2" s="4" t="s">
        <v>0</v>
      </c>
      <c r="B2" s="4" t="s">
        <v>92</v>
      </c>
      <c r="C2" s="4" t="s">
        <v>93</v>
      </c>
      <c r="D2" s="4" t="s">
        <v>94</v>
      </c>
    </row>
    <row r="3" spans="1:4">
      <c r="A3" s="4" t="s">
        <v>1</v>
      </c>
      <c r="B3" s="4" t="s">
        <v>95</v>
      </c>
      <c r="C3" s="4" t="s">
        <v>93</v>
      </c>
      <c r="D3" s="4" t="s">
        <v>96</v>
      </c>
    </row>
    <row r="4" spans="1:4">
      <c r="A4" s="4" t="s">
        <v>2</v>
      </c>
      <c r="B4" s="4" t="s">
        <v>97</v>
      </c>
      <c r="C4" s="4" t="s">
        <v>98</v>
      </c>
      <c r="D4" s="4" t="s">
        <v>99</v>
      </c>
    </row>
    <row r="5" spans="1:4">
      <c r="A5" s="4" t="s">
        <v>3</v>
      </c>
      <c r="B5" s="4" t="s">
        <v>100</v>
      </c>
      <c r="C5" s="4" t="s">
        <v>98</v>
      </c>
      <c r="D5" s="4" t="s">
        <v>101</v>
      </c>
    </row>
    <row r="6" spans="1:4">
      <c r="A6" s="4" t="s">
        <v>4</v>
      </c>
      <c r="B6" s="4" t="s">
        <v>102</v>
      </c>
      <c r="C6" s="4" t="s">
        <v>103</v>
      </c>
      <c r="D6" s="4" t="s">
        <v>104</v>
      </c>
    </row>
    <row r="7" spans="1:4">
      <c r="A7" s="4" t="s">
        <v>5</v>
      </c>
      <c r="B7" s="4" t="s">
        <v>105</v>
      </c>
      <c r="C7" s="4" t="s">
        <v>103</v>
      </c>
      <c r="D7" s="4" t="s">
        <v>106</v>
      </c>
    </row>
    <row r="8" spans="1:4">
      <c r="A8" s="4" t="s">
        <v>6</v>
      </c>
      <c r="B8" s="4" t="s">
        <v>107</v>
      </c>
      <c r="C8" s="4" t="s">
        <v>108</v>
      </c>
      <c r="D8" s="4" t="s">
        <v>109</v>
      </c>
    </row>
    <row r="9" spans="1:4">
      <c r="A9" s="4" t="s">
        <v>7</v>
      </c>
      <c r="B9" s="4" t="s">
        <v>110</v>
      </c>
      <c r="C9" s="4" t="s">
        <v>111</v>
      </c>
      <c r="D9" s="4" t="s">
        <v>112</v>
      </c>
    </row>
    <row r="10" spans="1:4">
      <c r="A10" s="4" t="s">
        <v>8</v>
      </c>
      <c r="B10" s="4" t="s">
        <v>113</v>
      </c>
      <c r="C10" s="4" t="s">
        <v>114</v>
      </c>
      <c r="D10" s="4" t="s">
        <v>115</v>
      </c>
    </row>
    <row r="11" spans="1:4">
      <c r="A11" s="4" t="s">
        <v>9</v>
      </c>
      <c r="B11" s="4" t="s">
        <v>116</v>
      </c>
      <c r="C11" s="4" t="s">
        <v>114</v>
      </c>
      <c r="D11" s="4" t="s">
        <v>117</v>
      </c>
    </row>
    <row r="12" spans="1:4">
      <c r="A12" s="4" t="s">
        <v>10</v>
      </c>
      <c r="B12" s="4" t="s">
        <v>118</v>
      </c>
      <c r="C12" s="4" t="s">
        <v>114</v>
      </c>
      <c r="D12" s="4" t="s">
        <v>119</v>
      </c>
    </row>
    <row r="13" spans="1:4">
      <c r="A13" s="4" t="s">
        <v>11</v>
      </c>
      <c r="B13" s="4" t="s">
        <v>120</v>
      </c>
      <c r="C13" s="4" t="s">
        <v>121</v>
      </c>
      <c r="D13" s="4" t="s">
        <v>122</v>
      </c>
    </row>
    <row r="14" spans="1:4">
      <c r="A14" s="4" t="s">
        <v>12</v>
      </c>
      <c r="B14" s="4" t="s">
        <v>123</v>
      </c>
      <c r="C14" s="4" t="s">
        <v>121</v>
      </c>
      <c r="D14" s="4" t="s">
        <v>124</v>
      </c>
    </row>
    <row r="15" spans="1:4">
      <c r="A15" s="4" t="s">
        <v>13</v>
      </c>
      <c r="B15" s="4" t="s">
        <v>125</v>
      </c>
      <c r="C15" s="4" t="s">
        <v>121</v>
      </c>
      <c r="D15" s="4" t="s">
        <v>126</v>
      </c>
    </row>
    <row r="16" spans="1:4">
      <c r="A16" s="4" t="s">
        <v>14</v>
      </c>
      <c r="B16" s="4" t="s">
        <v>127</v>
      </c>
      <c r="C16" s="4" t="s">
        <v>128</v>
      </c>
      <c r="D16" s="4" t="s">
        <v>129</v>
      </c>
    </row>
    <row r="17" spans="1:4">
      <c r="A17" s="4" t="s">
        <v>15</v>
      </c>
      <c r="B17" s="4" t="s">
        <v>130</v>
      </c>
      <c r="C17" s="4" t="s">
        <v>131</v>
      </c>
      <c r="D17" s="4" t="s">
        <v>132</v>
      </c>
    </row>
    <row r="18" spans="1:4">
      <c r="A18" s="4" t="s">
        <v>16</v>
      </c>
      <c r="B18" s="4" t="s">
        <v>133</v>
      </c>
      <c r="C18" s="4" t="s">
        <v>131</v>
      </c>
      <c r="D18" s="4" t="s">
        <v>134</v>
      </c>
    </row>
    <row r="19" spans="1:4">
      <c r="A19" s="4" t="s">
        <v>17</v>
      </c>
      <c r="B19" s="4" t="s">
        <v>135</v>
      </c>
      <c r="C19" s="4" t="s">
        <v>136</v>
      </c>
      <c r="D19" s="4" t="s">
        <v>137</v>
      </c>
    </row>
    <row r="20" spans="1:4">
      <c r="A20" s="4" t="s">
        <v>18</v>
      </c>
      <c r="B20" s="4" t="s">
        <v>138</v>
      </c>
      <c r="C20" s="4" t="s">
        <v>139</v>
      </c>
      <c r="D20" s="4" t="s">
        <v>140</v>
      </c>
    </row>
    <row r="21" spans="1:4">
      <c r="A21" s="4" t="s">
        <v>19</v>
      </c>
      <c r="B21" s="4" t="s">
        <v>141</v>
      </c>
      <c r="C21" s="4" t="s">
        <v>142</v>
      </c>
      <c r="D21" s="4" t="s">
        <v>143</v>
      </c>
    </row>
    <row r="22" spans="1:4">
      <c r="A22" s="4" t="s">
        <v>20</v>
      </c>
      <c r="B22" s="4" t="s">
        <v>144</v>
      </c>
      <c r="C22" s="4" t="s">
        <v>142</v>
      </c>
      <c r="D22" s="4" t="s">
        <v>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zoomScaleNormal="100" zoomScaleSheetLayoutView="100" workbookViewId="0"/>
  </sheetViews>
  <sheetFormatPr defaultRowHeight="15"/>
  <cols>
    <col min="1" max="1" width="35" customWidth="1"/>
    <col min="2" max="2" width="90" customWidth="1"/>
  </cols>
  <sheetData>
    <row r="1" spans="1:2">
      <c r="A1" s="5" t="s">
        <v>146</v>
      </c>
      <c r="B1" s="5" t="s">
        <v>147</v>
      </c>
    </row>
    <row r="2" spans="1:2">
      <c r="A2" s="4" t="s">
        <v>148</v>
      </c>
      <c r="B2" s="4">
        <v>250</v>
      </c>
    </row>
    <row r="3" spans="1:2">
      <c r="A3" s="4" t="s">
        <v>149</v>
      </c>
      <c r="B3" s="4">
        <v>50</v>
      </c>
    </row>
    <row r="4" spans="1:2">
      <c r="A4" s="4" t="s">
        <v>150</v>
      </c>
      <c r="B4" s="4" t="s">
        <v>151</v>
      </c>
    </row>
    <row r="5" spans="1:2">
      <c r="A5" s="4" t="s">
        <v>152</v>
      </c>
      <c r="B5" s="4">
        <v>50</v>
      </c>
    </row>
    <row r="6" spans="1:2">
      <c r="A6" s="4" t="s">
        <v>153</v>
      </c>
      <c r="B6" s="4">
        <v>50</v>
      </c>
    </row>
    <row r="7" spans="1:2">
      <c r="A7" s="4" t="s">
        <v>154</v>
      </c>
      <c r="B7" s="4">
        <v>50</v>
      </c>
    </row>
    <row r="8" spans="1:2">
      <c r="A8" s="4" t="s">
        <v>155</v>
      </c>
      <c r="B8" s="4">
        <v>50</v>
      </c>
    </row>
    <row r="9" spans="1:2">
      <c r="A9" s="4" t="s">
        <v>156</v>
      </c>
      <c r="B9" s="4">
        <v>50</v>
      </c>
    </row>
    <row r="10" spans="1:2">
      <c r="A10" s="4" t="s">
        <v>157</v>
      </c>
      <c r="B10" s="4">
        <v>0</v>
      </c>
    </row>
    <row r="11" spans="1:2">
      <c r="A11" s="4" t="s">
        <v>158</v>
      </c>
      <c r="B11" s="4">
        <v>0</v>
      </c>
    </row>
    <row r="12" spans="1:2">
      <c r="A12" s="4" t="s">
        <v>159</v>
      </c>
      <c r="B12" s="4" t="s">
        <v>160</v>
      </c>
    </row>
    <row r="13" spans="1:2">
      <c r="A13" s="4" t="s">
        <v>161</v>
      </c>
      <c r="B13" s="4" t="s">
        <v>162</v>
      </c>
    </row>
    <row r="14" spans="1:2">
      <c r="A14" s="4" t="s">
        <v>163</v>
      </c>
      <c r="B14" s="4" t="s">
        <v>164</v>
      </c>
    </row>
    <row r="15" spans="1:2">
      <c r="A15" t="s">
        <v>165</v>
      </c>
      <c r="B15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Melrose, Bella Michelle</cp:lastModifiedBy>
  <cp:revision/>
  <dcterms:created xsi:type="dcterms:W3CDTF">2026-04-27T19:47:03Z</dcterms:created>
  <dcterms:modified xsi:type="dcterms:W3CDTF">2026-04-27T19:47:03Z</dcterms:modified>
  <cp:category/>
  <cp:contentStatus/>
</cp:coreProperties>
</file>